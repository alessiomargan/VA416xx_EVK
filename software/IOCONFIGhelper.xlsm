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olaris_1v0_Release_Flash_Drive\software\VA416xx_EVK_1v01_Release\VA416xx_EVK_Keil\"/>
    </mc:Choice>
  </mc:AlternateContent>
  <xr:revisionPtr revIDLastSave="0" documentId="13_ncr:1_{F168ADE6-BCA3-46FD-ABAE-B6EF976E5477}" xr6:coauthVersionLast="44" xr6:coauthVersionMax="44" xr10:uidLastSave="{00000000-0000-0000-0000-000000000000}"/>
  <bookViews>
    <workbookView xWindow="-28920" yWindow="-120" windowWidth="29040" windowHeight="15840" xr2:uid="{B8DFCA3E-72E0-574F-9233-F6F2EEB7D842}"/>
  </bookViews>
  <sheets>
    <sheet name="IOFieldGen" sheetId="4" r:id="rId1"/>
    <sheet name="Output" sheetId="8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48" i="4" l="1"/>
  <c r="V49" i="4"/>
  <c r="V50" i="4"/>
  <c r="V51" i="4"/>
  <c r="V52" i="4"/>
  <c r="V53" i="4"/>
  <c r="V54" i="4"/>
  <c r="V55" i="4"/>
  <c r="V56" i="4"/>
  <c r="V57" i="4"/>
  <c r="V58" i="4"/>
  <c r="V59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8" i="4"/>
  <c r="V89" i="4"/>
  <c r="V90" i="4"/>
  <c r="V91" i="4"/>
  <c r="V98" i="4"/>
  <c r="V99" i="4"/>
  <c r="V100" i="4"/>
  <c r="V101" i="4"/>
  <c r="V102" i="4"/>
  <c r="V103" i="4"/>
  <c r="V104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8" i="4"/>
  <c r="V129" i="4"/>
  <c r="V130" i="4"/>
  <c r="V131" i="4"/>
  <c r="V132" i="4"/>
  <c r="V133" i="4"/>
  <c r="V134" i="4"/>
  <c r="V135" i="4"/>
  <c r="V162" i="4"/>
  <c r="V163" i="4"/>
  <c r="V164" i="4"/>
  <c r="V165" i="4"/>
  <c r="V166" i="4"/>
  <c r="V167" i="4"/>
  <c r="V168" i="4"/>
  <c r="V169" i="4"/>
  <c r="V6" i="4"/>
  <c r="V7" i="4"/>
  <c r="V8" i="4"/>
  <c r="V18" i="4"/>
  <c r="V19" i="4"/>
  <c r="V20" i="4"/>
  <c r="V21" i="4"/>
  <c r="V22" i="4"/>
  <c r="V23" i="4"/>
  <c r="V24" i="4"/>
  <c r="V25" i="4"/>
  <c r="V30" i="4"/>
  <c r="V31" i="4"/>
  <c r="V32" i="4"/>
  <c r="V33" i="4"/>
  <c r="V34" i="4"/>
  <c r="V35" i="4"/>
  <c r="V42" i="4"/>
  <c r="V43" i="4"/>
  <c r="V44" i="4"/>
  <c r="V45" i="4"/>
  <c r="V46" i="4"/>
  <c r="V47" i="4"/>
  <c r="V5" i="4"/>
  <c r="V4" i="4"/>
  <c r="K169" i="4" l="1"/>
  <c r="K168" i="4"/>
  <c r="K167" i="4"/>
  <c r="K166" i="4"/>
  <c r="K165" i="4"/>
  <c r="K164" i="4"/>
  <c r="K163" i="4"/>
  <c r="K162" i="4"/>
  <c r="K135" i="4"/>
  <c r="K134" i="4"/>
  <c r="K133" i="4"/>
  <c r="K132" i="4"/>
  <c r="K131" i="4"/>
  <c r="K130" i="4"/>
  <c r="K129" i="4"/>
  <c r="K128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4" i="4"/>
  <c r="K103" i="4"/>
  <c r="K102" i="4"/>
  <c r="K101" i="4"/>
  <c r="K100" i="4"/>
  <c r="K99" i="4"/>
  <c r="K98" i="4"/>
  <c r="K91" i="4"/>
  <c r="K90" i="4"/>
  <c r="K89" i="4"/>
  <c r="K88" i="4"/>
  <c r="K84" i="4"/>
  <c r="K83" i="4"/>
  <c r="K82" i="4"/>
  <c r="K81" i="4"/>
  <c r="K80" i="4"/>
  <c r="K79" i="4"/>
  <c r="K78" i="4"/>
  <c r="K77" i="4"/>
  <c r="K76" i="4"/>
  <c r="K75" i="4"/>
  <c r="K74" i="4"/>
  <c r="K73" i="4"/>
  <c r="K71" i="4"/>
  <c r="K70" i="4"/>
  <c r="K69" i="4"/>
  <c r="K68" i="4"/>
  <c r="K67" i="4"/>
  <c r="K66" i="4"/>
  <c r="K65" i="4"/>
  <c r="K64" i="4"/>
  <c r="K63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35" i="4"/>
  <c r="K34" i="4"/>
  <c r="K33" i="4"/>
  <c r="K32" i="4"/>
  <c r="K31" i="4"/>
  <c r="K30" i="4"/>
  <c r="K25" i="4"/>
  <c r="K24" i="4"/>
  <c r="K23" i="4"/>
  <c r="K22" i="4"/>
  <c r="K21" i="4"/>
  <c r="K20" i="4"/>
  <c r="K19" i="4"/>
  <c r="K18" i="4"/>
  <c r="K8" i="4"/>
  <c r="K7" i="4"/>
  <c r="K6" i="4"/>
  <c r="K5" i="4"/>
  <c r="K4" i="4"/>
  <c r="K72" i="4"/>
  <c r="AG162" i="4" l="1"/>
  <c r="AG163" i="4"/>
  <c r="AG164" i="4"/>
  <c r="AG165" i="4"/>
  <c r="AG166" i="4"/>
  <c r="AG167" i="4"/>
  <c r="AG168" i="4"/>
  <c r="AG169" i="4"/>
  <c r="AF162" i="4"/>
  <c r="AF163" i="4"/>
  <c r="AF164" i="4"/>
  <c r="AF165" i="4"/>
  <c r="AF166" i="4"/>
  <c r="AF167" i="4"/>
  <c r="AL167" i="4" s="1"/>
  <c r="AF168" i="4"/>
  <c r="AF169" i="4"/>
  <c r="AE162" i="4"/>
  <c r="AE163" i="4"/>
  <c r="AE164" i="4"/>
  <c r="AE165" i="4"/>
  <c r="AE166" i="4"/>
  <c r="AE167" i="4"/>
  <c r="AE168" i="4"/>
  <c r="AE169" i="4"/>
  <c r="AD162" i="4"/>
  <c r="AD163" i="4"/>
  <c r="AD164" i="4"/>
  <c r="AD165" i="4"/>
  <c r="AD166" i="4"/>
  <c r="AD167" i="4"/>
  <c r="AD168" i="4"/>
  <c r="AD169" i="4"/>
  <c r="AC162" i="4"/>
  <c r="AC163" i="4"/>
  <c r="AC164" i="4"/>
  <c r="AC165" i="4"/>
  <c r="AC166" i="4"/>
  <c r="AC167" i="4"/>
  <c r="AC168" i="4"/>
  <c r="AC169" i="4"/>
  <c r="AB162" i="4"/>
  <c r="AB163" i="4"/>
  <c r="AB164" i="4"/>
  <c r="AB165" i="4"/>
  <c r="AB166" i="4"/>
  <c r="AB167" i="4"/>
  <c r="AB168" i="4"/>
  <c r="AB169" i="4"/>
  <c r="AA162" i="4"/>
  <c r="AA163" i="4"/>
  <c r="AA164" i="4"/>
  <c r="AA165" i="4"/>
  <c r="AA166" i="4"/>
  <c r="AA167" i="4"/>
  <c r="AA168" i="4"/>
  <c r="AA169" i="4"/>
  <c r="Z162" i="4"/>
  <c r="Z163" i="4"/>
  <c r="Z164" i="4"/>
  <c r="Z165" i="4"/>
  <c r="Z166" i="4"/>
  <c r="Z167" i="4"/>
  <c r="Z168" i="4"/>
  <c r="Z169" i="4"/>
  <c r="Y162" i="4"/>
  <c r="Y163" i="4"/>
  <c r="Y164" i="4"/>
  <c r="Y165" i="4"/>
  <c r="Y166" i="4"/>
  <c r="Y167" i="4"/>
  <c r="Y168" i="4"/>
  <c r="Y169" i="4"/>
  <c r="X162" i="4"/>
  <c r="X163" i="4"/>
  <c r="X164" i="4"/>
  <c r="X165" i="4"/>
  <c r="X166" i="4"/>
  <c r="X167" i="4"/>
  <c r="X168" i="4"/>
  <c r="X169" i="4"/>
  <c r="W162" i="4"/>
  <c r="W163" i="4"/>
  <c r="W164" i="4"/>
  <c r="W165" i="4"/>
  <c r="W166" i="4"/>
  <c r="W167" i="4"/>
  <c r="W168" i="4"/>
  <c r="W169" i="4"/>
  <c r="AE42" i="4"/>
  <c r="AE43" i="4"/>
  <c r="AE44" i="4"/>
  <c r="AE45" i="4"/>
  <c r="AE46" i="4"/>
  <c r="AE47" i="4"/>
  <c r="AE48" i="4"/>
  <c r="AE49" i="4"/>
  <c r="AE50" i="4"/>
  <c r="AE51" i="4"/>
  <c r="AE52" i="4"/>
  <c r="AE53" i="4"/>
  <c r="AE54" i="4"/>
  <c r="AE55" i="4"/>
  <c r="AE56" i="4"/>
  <c r="AE57" i="4"/>
  <c r="AE58" i="4"/>
  <c r="AE59" i="4"/>
  <c r="AE63" i="4"/>
  <c r="AE64" i="4"/>
  <c r="AE65" i="4"/>
  <c r="AE66" i="4"/>
  <c r="AE67" i="4"/>
  <c r="AE68" i="4"/>
  <c r="AE69" i="4"/>
  <c r="AE70" i="4"/>
  <c r="AE71" i="4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8" i="4"/>
  <c r="AE89" i="4"/>
  <c r="AE90" i="4"/>
  <c r="AE91" i="4"/>
  <c r="AE98" i="4"/>
  <c r="AE99" i="4"/>
  <c r="AE100" i="4"/>
  <c r="AE101" i="4"/>
  <c r="AE102" i="4"/>
  <c r="AE103" i="4"/>
  <c r="AE104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8" i="4"/>
  <c r="AE129" i="4"/>
  <c r="AE130" i="4"/>
  <c r="AE131" i="4"/>
  <c r="AE132" i="4"/>
  <c r="AE133" i="4"/>
  <c r="AE134" i="4"/>
  <c r="AE135" i="4"/>
  <c r="AE18" i="4"/>
  <c r="AE19" i="4"/>
  <c r="AE20" i="4"/>
  <c r="AE21" i="4"/>
  <c r="AE22" i="4"/>
  <c r="AE23" i="4"/>
  <c r="AE24" i="4"/>
  <c r="AE25" i="4"/>
  <c r="AE30" i="4"/>
  <c r="AE31" i="4"/>
  <c r="AE32" i="4"/>
  <c r="AE33" i="4"/>
  <c r="AE34" i="4"/>
  <c r="AE35" i="4"/>
  <c r="AE5" i="4"/>
  <c r="AE6" i="4"/>
  <c r="AE7" i="4"/>
  <c r="AE8" i="4"/>
  <c r="AE4" i="4"/>
  <c r="AL168" i="4" l="1"/>
  <c r="AL165" i="4"/>
  <c r="AL169" i="4"/>
  <c r="AL166" i="4"/>
  <c r="AL164" i="4"/>
  <c r="AL163" i="4"/>
  <c r="AL162" i="4"/>
  <c r="AG135" i="4"/>
  <c r="AG134" i="4"/>
  <c r="AG133" i="4"/>
  <c r="AG132" i="4"/>
  <c r="AG131" i="4"/>
  <c r="AG130" i="4"/>
  <c r="AG129" i="4"/>
  <c r="AG128" i="4"/>
  <c r="AG124" i="4"/>
  <c r="AG123" i="4"/>
  <c r="AG122" i="4"/>
  <c r="AG121" i="4"/>
  <c r="AG120" i="4"/>
  <c r="AG119" i="4"/>
  <c r="AG118" i="4"/>
  <c r="AG117" i="4"/>
  <c r="AG116" i="4"/>
  <c r="AG115" i="4"/>
  <c r="AG114" i="4"/>
  <c r="AG113" i="4"/>
  <c r="AG112" i="4"/>
  <c r="AG111" i="4"/>
  <c r="AG110" i="4"/>
  <c r="AG109" i="4"/>
  <c r="AG108" i="4"/>
  <c r="AG107" i="4"/>
  <c r="AG104" i="4"/>
  <c r="AG103" i="4"/>
  <c r="AG102" i="4"/>
  <c r="AG101" i="4"/>
  <c r="AG100" i="4"/>
  <c r="AG99" i="4"/>
  <c r="AG98" i="4"/>
  <c r="AG91" i="4"/>
  <c r="AG90" i="4"/>
  <c r="AG89" i="4"/>
  <c r="AG88" i="4"/>
  <c r="AG84" i="4"/>
  <c r="AG83" i="4"/>
  <c r="AG82" i="4"/>
  <c r="AG81" i="4"/>
  <c r="AG80" i="4"/>
  <c r="AG79" i="4"/>
  <c r="AG78" i="4"/>
  <c r="AG77" i="4"/>
  <c r="AG76" i="4"/>
  <c r="AG75" i="4"/>
  <c r="AG74" i="4"/>
  <c r="AG73" i="4"/>
  <c r="AG72" i="4"/>
  <c r="AG71" i="4"/>
  <c r="AG70" i="4"/>
  <c r="AG69" i="4"/>
  <c r="AG68" i="4"/>
  <c r="AG67" i="4"/>
  <c r="AG66" i="4"/>
  <c r="AG65" i="4"/>
  <c r="AG64" i="4"/>
  <c r="AG63" i="4"/>
  <c r="AG59" i="4"/>
  <c r="AG58" i="4"/>
  <c r="AG57" i="4"/>
  <c r="AG56" i="4"/>
  <c r="AG55" i="4"/>
  <c r="AG54" i="4"/>
  <c r="AG53" i="4"/>
  <c r="AG52" i="4"/>
  <c r="AG51" i="4"/>
  <c r="AG50" i="4"/>
  <c r="AG49" i="4"/>
  <c r="AG48" i="4"/>
  <c r="AG47" i="4"/>
  <c r="AG46" i="4"/>
  <c r="AG45" i="4"/>
  <c r="AG44" i="4"/>
  <c r="AG43" i="4"/>
  <c r="AG42" i="4"/>
  <c r="AG35" i="4"/>
  <c r="AG34" i="4"/>
  <c r="AG33" i="4"/>
  <c r="AG32" i="4"/>
  <c r="AG31" i="4"/>
  <c r="AG30" i="4"/>
  <c r="AG25" i="4"/>
  <c r="AG24" i="4"/>
  <c r="AG23" i="4"/>
  <c r="AG22" i="4"/>
  <c r="AG21" i="4"/>
  <c r="AG20" i="4"/>
  <c r="AG19" i="4"/>
  <c r="AG18" i="4"/>
  <c r="AG8" i="4"/>
  <c r="AG7" i="4"/>
  <c r="AG6" i="4"/>
  <c r="AG5" i="4"/>
  <c r="AG4" i="4"/>
  <c r="AF135" i="4"/>
  <c r="AD135" i="4"/>
  <c r="AC135" i="4"/>
  <c r="AB135" i="4"/>
  <c r="AA135" i="4"/>
  <c r="Z135" i="4"/>
  <c r="Y135" i="4"/>
  <c r="X135" i="4"/>
  <c r="W135" i="4"/>
  <c r="AF134" i="4"/>
  <c r="AD134" i="4"/>
  <c r="AC134" i="4"/>
  <c r="AB134" i="4"/>
  <c r="AA134" i="4"/>
  <c r="Z134" i="4"/>
  <c r="Y134" i="4"/>
  <c r="X134" i="4"/>
  <c r="W134" i="4"/>
  <c r="AF133" i="4"/>
  <c r="AD133" i="4"/>
  <c r="AC133" i="4"/>
  <c r="AB133" i="4"/>
  <c r="AA133" i="4"/>
  <c r="Z133" i="4"/>
  <c r="Y133" i="4"/>
  <c r="X133" i="4"/>
  <c r="W133" i="4"/>
  <c r="AF132" i="4"/>
  <c r="AD132" i="4"/>
  <c r="AC132" i="4"/>
  <c r="AB132" i="4"/>
  <c r="AA132" i="4"/>
  <c r="Z132" i="4"/>
  <c r="Y132" i="4"/>
  <c r="X132" i="4"/>
  <c r="W132" i="4"/>
  <c r="AF131" i="4"/>
  <c r="AD131" i="4"/>
  <c r="AC131" i="4"/>
  <c r="AB131" i="4"/>
  <c r="AA131" i="4"/>
  <c r="Z131" i="4"/>
  <c r="Y131" i="4"/>
  <c r="X131" i="4"/>
  <c r="W131" i="4"/>
  <c r="AF130" i="4"/>
  <c r="AD130" i="4"/>
  <c r="AC130" i="4"/>
  <c r="AB130" i="4"/>
  <c r="AA130" i="4"/>
  <c r="Z130" i="4"/>
  <c r="Y130" i="4"/>
  <c r="X130" i="4"/>
  <c r="W130" i="4"/>
  <c r="AF129" i="4"/>
  <c r="AD129" i="4"/>
  <c r="AC129" i="4"/>
  <c r="AB129" i="4"/>
  <c r="AA129" i="4"/>
  <c r="Z129" i="4"/>
  <c r="Y129" i="4"/>
  <c r="X129" i="4"/>
  <c r="W129" i="4"/>
  <c r="AF128" i="4"/>
  <c r="AD128" i="4"/>
  <c r="AC128" i="4"/>
  <c r="AB128" i="4"/>
  <c r="AA128" i="4"/>
  <c r="Z128" i="4"/>
  <c r="Y128" i="4"/>
  <c r="X128" i="4"/>
  <c r="W128" i="4"/>
  <c r="AF124" i="4"/>
  <c r="AD124" i="4"/>
  <c r="AC124" i="4"/>
  <c r="AB124" i="4"/>
  <c r="AA124" i="4"/>
  <c r="Z124" i="4"/>
  <c r="Y124" i="4"/>
  <c r="X124" i="4"/>
  <c r="W124" i="4"/>
  <c r="AF123" i="4"/>
  <c r="AD123" i="4"/>
  <c r="AC123" i="4"/>
  <c r="AB123" i="4"/>
  <c r="AA123" i="4"/>
  <c r="Z123" i="4"/>
  <c r="AL123" i="4" s="1"/>
  <c r="Y123" i="4"/>
  <c r="X123" i="4"/>
  <c r="W123" i="4"/>
  <c r="AF122" i="4"/>
  <c r="AD122" i="4"/>
  <c r="AC122" i="4"/>
  <c r="AB122" i="4"/>
  <c r="AA122" i="4"/>
  <c r="Z122" i="4"/>
  <c r="Y122" i="4"/>
  <c r="X122" i="4"/>
  <c r="W122" i="4"/>
  <c r="AF121" i="4"/>
  <c r="AD121" i="4"/>
  <c r="AC121" i="4"/>
  <c r="AB121" i="4"/>
  <c r="AA121" i="4"/>
  <c r="Z121" i="4"/>
  <c r="Y121" i="4"/>
  <c r="X121" i="4"/>
  <c r="W121" i="4"/>
  <c r="AF120" i="4"/>
  <c r="AD120" i="4"/>
  <c r="AC120" i="4"/>
  <c r="AB120" i="4"/>
  <c r="AA120" i="4"/>
  <c r="Z120" i="4"/>
  <c r="Y120" i="4"/>
  <c r="X120" i="4"/>
  <c r="W120" i="4"/>
  <c r="AF119" i="4"/>
  <c r="AD119" i="4"/>
  <c r="AC119" i="4"/>
  <c r="AB119" i="4"/>
  <c r="AA119" i="4"/>
  <c r="Z119" i="4"/>
  <c r="Y119" i="4"/>
  <c r="X119" i="4"/>
  <c r="W119" i="4"/>
  <c r="AF118" i="4"/>
  <c r="AD118" i="4"/>
  <c r="AC118" i="4"/>
  <c r="AB118" i="4"/>
  <c r="AA118" i="4"/>
  <c r="Z118" i="4"/>
  <c r="Y118" i="4"/>
  <c r="X118" i="4"/>
  <c r="W118" i="4"/>
  <c r="AF117" i="4"/>
  <c r="AD117" i="4"/>
  <c r="AC117" i="4"/>
  <c r="AB117" i="4"/>
  <c r="AA117" i="4"/>
  <c r="Z117" i="4"/>
  <c r="Y117" i="4"/>
  <c r="X117" i="4"/>
  <c r="W117" i="4"/>
  <c r="AF116" i="4"/>
  <c r="AD116" i="4"/>
  <c r="AC116" i="4"/>
  <c r="AB116" i="4"/>
  <c r="AA116" i="4"/>
  <c r="Z116" i="4"/>
  <c r="Y116" i="4"/>
  <c r="X116" i="4"/>
  <c r="W116" i="4"/>
  <c r="AF115" i="4"/>
  <c r="AD115" i="4"/>
  <c r="AC115" i="4"/>
  <c r="AB115" i="4"/>
  <c r="AA115" i="4"/>
  <c r="Z115" i="4"/>
  <c r="Y115" i="4"/>
  <c r="X115" i="4"/>
  <c r="W115" i="4"/>
  <c r="AF114" i="4"/>
  <c r="AD114" i="4"/>
  <c r="AC114" i="4"/>
  <c r="AB114" i="4"/>
  <c r="AA114" i="4"/>
  <c r="Z114" i="4"/>
  <c r="Y114" i="4"/>
  <c r="X114" i="4"/>
  <c r="W114" i="4"/>
  <c r="AF113" i="4"/>
  <c r="AD113" i="4"/>
  <c r="AC113" i="4"/>
  <c r="AB113" i="4"/>
  <c r="AA113" i="4"/>
  <c r="Z113" i="4"/>
  <c r="Y113" i="4"/>
  <c r="X113" i="4"/>
  <c r="W113" i="4"/>
  <c r="AF112" i="4"/>
  <c r="AD112" i="4"/>
  <c r="AC112" i="4"/>
  <c r="AB112" i="4"/>
  <c r="AA112" i="4"/>
  <c r="Z112" i="4"/>
  <c r="Y112" i="4"/>
  <c r="X112" i="4"/>
  <c r="W112" i="4"/>
  <c r="AF111" i="4"/>
  <c r="AD111" i="4"/>
  <c r="AC111" i="4"/>
  <c r="AB111" i="4"/>
  <c r="AA111" i="4"/>
  <c r="Z111" i="4"/>
  <c r="Y111" i="4"/>
  <c r="X111" i="4"/>
  <c r="W111" i="4"/>
  <c r="AF110" i="4"/>
  <c r="AD110" i="4"/>
  <c r="AC110" i="4"/>
  <c r="AB110" i="4"/>
  <c r="AA110" i="4"/>
  <c r="Z110" i="4"/>
  <c r="Y110" i="4"/>
  <c r="X110" i="4"/>
  <c r="W110" i="4"/>
  <c r="AF109" i="4"/>
  <c r="AD109" i="4"/>
  <c r="AC109" i="4"/>
  <c r="AB109" i="4"/>
  <c r="AA109" i="4"/>
  <c r="Z109" i="4"/>
  <c r="Y109" i="4"/>
  <c r="X109" i="4"/>
  <c r="W109" i="4"/>
  <c r="AF108" i="4"/>
  <c r="AD108" i="4"/>
  <c r="AC108" i="4"/>
  <c r="AB108" i="4"/>
  <c r="AA108" i="4"/>
  <c r="Z108" i="4"/>
  <c r="Y108" i="4"/>
  <c r="X108" i="4"/>
  <c r="W108" i="4"/>
  <c r="AF107" i="4"/>
  <c r="AD107" i="4"/>
  <c r="AC107" i="4"/>
  <c r="AB107" i="4"/>
  <c r="AA107" i="4"/>
  <c r="Z107" i="4"/>
  <c r="Y107" i="4"/>
  <c r="X107" i="4"/>
  <c r="AL107" i="4" s="1"/>
  <c r="W107" i="4"/>
  <c r="AF104" i="4"/>
  <c r="AD104" i="4"/>
  <c r="AC104" i="4"/>
  <c r="AB104" i="4"/>
  <c r="AA104" i="4"/>
  <c r="Z104" i="4"/>
  <c r="Y104" i="4"/>
  <c r="X104" i="4"/>
  <c r="W104" i="4"/>
  <c r="AF103" i="4"/>
  <c r="AD103" i="4"/>
  <c r="AC103" i="4"/>
  <c r="AB103" i="4"/>
  <c r="AA103" i="4"/>
  <c r="Z103" i="4"/>
  <c r="Y103" i="4"/>
  <c r="X103" i="4"/>
  <c r="W103" i="4"/>
  <c r="AF102" i="4"/>
  <c r="AD102" i="4"/>
  <c r="AC102" i="4"/>
  <c r="AB102" i="4"/>
  <c r="AA102" i="4"/>
  <c r="Z102" i="4"/>
  <c r="Y102" i="4"/>
  <c r="X102" i="4"/>
  <c r="W102" i="4"/>
  <c r="AF101" i="4"/>
  <c r="AD101" i="4"/>
  <c r="AC101" i="4"/>
  <c r="AB101" i="4"/>
  <c r="AA101" i="4"/>
  <c r="Z101" i="4"/>
  <c r="Y101" i="4"/>
  <c r="X101" i="4"/>
  <c r="W101" i="4"/>
  <c r="AF100" i="4"/>
  <c r="AD100" i="4"/>
  <c r="AC100" i="4"/>
  <c r="AB100" i="4"/>
  <c r="AA100" i="4"/>
  <c r="Z100" i="4"/>
  <c r="Y100" i="4"/>
  <c r="X100" i="4"/>
  <c r="W100" i="4"/>
  <c r="AF99" i="4"/>
  <c r="AD99" i="4"/>
  <c r="AC99" i="4"/>
  <c r="AB99" i="4"/>
  <c r="AA99" i="4"/>
  <c r="Z99" i="4"/>
  <c r="Y99" i="4"/>
  <c r="X99" i="4"/>
  <c r="W99" i="4"/>
  <c r="AF98" i="4"/>
  <c r="AD98" i="4"/>
  <c r="AC98" i="4"/>
  <c r="AB98" i="4"/>
  <c r="AA98" i="4"/>
  <c r="Z98" i="4"/>
  <c r="Y98" i="4"/>
  <c r="X98" i="4"/>
  <c r="W98" i="4"/>
  <c r="AF91" i="4"/>
  <c r="AD91" i="4"/>
  <c r="AC91" i="4"/>
  <c r="AB91" i="4"/>
  <c r="AA91" i="4"/>
  <c r="Z91" i="4"/>
  <c r="Y91" i="4"/>
  <c r="X91" i="4"/>
  <c r="W91" i="4"/>
  <c r="AF90" i="4"/>
  <c r="AD90" i="4"/>
  <c r="AC90" i="4"/>
  <c r="AB90" i="4"/>
  <c r="AA90" i="4"/>
  <c r="Z90" i="4"/>
  <c r="Y90" i="4"/>
  <c r="X90" i="4"/>
  <c r="W90" i="4"/>
  <c r="AF89" i="4"/>
  <c r="AD89" i="4"/>
  <c r="AC89" i="4"/>
  <c r="AB89" i="4"/>
  <c r="AA89" i="4"/>
  <c r="Z89" i="4"/>
  <c r="Y89" i="4"/>
  <c r="X89" i="4"/>
  <c r="W89" i="4"/>
  <c r="AF88" i="4"/>
  <c r="AD88" i="4"/>
  <c r="AC88" i="4"/>
  <c r="AB88" i="4"/>
  <c r="AA88" i="4"/>
  <c r="Z88" i="4"/>
  <c r="Y88" i="4"/>
  <c r="X88" i="4"/>
  <c r="W88" i="4"/>
  <c r="AF84" i="4"/>
  <c r="AD84" i="4"/>
  <c r="AC84" i="4"/>
  <c r="AB84" i="4"/>
  <c r="AA84" i="4"/>
  <c r="Z84" i="4"/>
  <c r="Y84" i="4"/>
  <c r="X84" i="4"/>
  <c r="W84" i="4"/>
  <c r="AF83" i="4"/>
  <c r="AD83" i="4"/>
  <c r="AC83" i="4"/>
  <c r="AB83" i="4"/>
  <c r="AA83" i="4"/>
  <c r="Z83" i="4"/>
  <c r="Y83" i="4"/>
  <c r="X83" i="4"/>
  <c r="W83" i="4"/>
  <c r="AF82" i="4"/>
  <c r="AD82" i="4"/>
  <c r="AC82" i="4"/>
  <c r="AB82" i="4"/>
  <c r="AA82" i="4"/>
  <c r="Z82" i="4"/>
  <c r="Y82" i="4"/>
  <c r="X82" i="4"/>
  <c r="W82" i="4"/>
  <c r="AF81" i="4"/>
  <c r="AD81" i="4"/>
  <c r="AC81" i="4"/>
  <c r="AB81" i="4"/>
  <c r="AA81" i="4"/>
  <c r="Z81" i="4"/>
  <c r="Y81" i="4"/>
  <c r="X81" i="4"/>
  <c r="W81" i="4"/>
  <c r="AF80" i="4"/>
  <c r="AD80" i="4"/>
  <c r="AC80" i="4"/>
  <c r="AB80" i="4"/>
  <c r="AA80" i="4"/>
  <c r="Z80" i="4"/>
  <c r="Y80" i="4"/>
  <c r="X80" i="4"/>
  <c r="W80" i="4"/>
  <c r="AF79" i="4"/>
  <c r="AD79" i="4"/>
  <c r="AC79" i="4"/>
  <c r="AB79" i="4"/>
  <c r="AA79" i="4"/>
  <c r="Z79" i="4"/>
  <c r="Y79" i="4"/>
  <c r="X79" i="4"/>
  <c r="W79" i="4"/>
  <c r="AF78" i="4"/>
  <c r="AD78" i="4"/>
  <c r="AC78" i="4"/>
  <c r="AB78" i="4"/>
  <c r="AA78" i="4"/>
  <c r="Z78" i="4"/>
  <c r="Y78" i="4"/>
  <c r="X78" i="4"/>
  <c r="W78" i="4"/>
  <c r="AF77" i="4"/>
  <c r="AD77" i="4"/>
  <c r="AC77" i="4"/>
  <c r="AB77" i="4"/>
  <c r="AA77" i="4"/>
  <c r="Z77" i="4"/>
  <c r="Y77" i="4"/>
  <c r="X77" i="4"/>
  <c r="W77" i="4"/>
  <c r="AF76" i="4"/>
  <c r="AD76" i="4"/>
  <c r="AC76" i="4"/>
  <c r="AB76" i="4"/>
  <c r="AA76" i="4"/>
  <c r="Z76" i="4"/>
  <c r="Y76" i="4"/>
  <c r="X76" i="4"/>
  <c r="W76" i="4"/>
  <c r="AF75" i="4"/>
  <c r="AD75" i="4"/>
  <c r="AC75" i="4"/>
  <c r="AB75" i="4"/>
  <c r="AA75" i="4"/>
  <c r="Z75" i="4"/>
  <c r="Y75" i="4"/>
  <c r="X75" i="4"/>
  <c r="W75" i="4"/>
  <c r="AF74" i="4"/>
  <c r="AD74" i="4"/>
  <c r="AC74" i="4"/>
  <c r="AB74" i="4"/>
  <c r="AA74" i="4"/>
  <c r="Z74" i="4"/>
  <c r="Y74" i="4"/>
  <c r="X74" i="4"/>
  <c r="W74" i="4"/>
  <c r="AF73" i="4"/>
  <c r="AD73" i="4"/>
  <c r="AC73" i="4"/>
  <c r="AB73" i="4"/>
  <c r="AA73" i="4"/>
  <c r="Z73" i="4"/>
  <c r="Y73" i="4"/>
  <c r="X73" i="4"/>
  <c r="W73" i="4"/>
  <c r="AF72" i="4"/>
  <c r="AD72" i="4"/>
  <c r="AC72" i="4"/>
  <c r="AB72" i="4"/>
  <c r="AA72" i="4"/>
  <c r="Z72" i="4"/>
  <c r="Y72" i="4"/>
  <c r="X72" i="4"/>
  <c r="W72" i="4"/>
  <c r="AF71" i="4"/>
  <c r="AD71" i="4"/>
  <c r="AC71" i="4"/>
  <c r="AB71" i="4"/>
  <c r="AA71" i="4"/>
  <c r="Z71" i="4"/>
  <c r="Y71" i="4"/>
  <c r="X71" i="4"/>
  <c r="W71" i="4"/>
  <c r="AF70" i="4"/>
  <c r="AD70" i="4"/>
  <c r="AC70" i="4"/>
  <c r="AB70" i="4"/>
  <c r="AA70" i="4"/>
  <c r="Z70" i="4"/>
  <c r="Y70" i="4"/>
  <c r="X70" i="4"/>
  <c r="W70" i="4"/>
  <c r="AF69" i="4"/>
  <c r="AD69" i="4"/>
  <c r="AC69" i="4"/>
  <c r="AB69" i="4"/>
  <c r="AA69" i="4"/>
  <c r="Z69" i="4"/>
  <c r="Y69" i="4"/>
  <c r="X69" i="4"/>
  <c r="W69" i="4"/>
  <c r="AF68" i="4"/>
  <c r="AD68" i="4"/>
  <c r="AC68" i="4"/>
  <c r="AB68" i="4"/>
  <c r="AA68" i="4"/>
  <c r="Z68" i="4"/>
  <c r="Y68" i="4"/>
  <c r="X68" i="4"/>
  <c r="W68" i="4"/>
  <c r="AF67" i="4"/>
  <c r="AD67" i="4"/>
  <c r="AC67" i="4"/>
  <c r="AB67" i="4"/>
  <c r="AA67" i="4"/>
  <c r="Z67" i="4"/>
  <c r="Y67" i="4"/>
  <c r="X67" i="4"/>
  <c r="W67" i="4"/>
  <c r="AF66" i="4"/>
  <c r="AD66" i="4"/>
  <c r="AC66" i="4"/>
  <c r="AB66" i="4"/>
  <c r="AA66" i="4"/>
  <c r="Z66" i="4"/>
  <c r="Y66" i="4"/>
  <c r="X66" i="4"/>
  <c r="W66" i="4"/>
  <c r="AF65" i="4"/>
  <c r="AD65" i="4"/>
  <c r="AC65" i="4"/>
  <c r="AB65" i="4"/>
  <c r="AA65" i="4"/>
  <c r="Z65" i="4"/>
  <c r="Y65" i="4"/>
  <c r="X65" i="4"/>
  <c r="W65" i="4"/>
  <c r="AF64" i="4"/>
  <c r="AD64" i="4"/>
  <c r="AC64" i="4"/>
  <c r="AB64" i="4"/>
  <c r="AA64" i="4"/>
  <c r="Z64" i="4"/>
  <c r="Y64" i="4"/>
  <c r="X64" i="4"/>
  <c r="W64" i="4"/>
  <c r="AF63" i="4"/>
  <c r="AD63" i="4"/>
  <c r="AC63" i="4"/>
  <c r="AB63" i="4"/>
  <c r="AA63" i="4"/>
  <c r="Z63" i="4"/>
  <c r="Y63" i="4"/>
  <c r="X63" i="4"/>
  <c r="W63" i="4"/>
  <c r="AF59" i="4"/>
  <c r="AD59" i="4"/>
  <c r="AC59" i="4"/>
  <c r="AB59" i="4"/>
  <c r="AA59" i="4"/>
  <c r="Z59" i="4"/>
  <c r="Y59" i="4"/>
  <c r="X59" i="4"/>
  <c r="W59" i="4"/>
  <c r="AF58" i="4"/>
  <c r="AD58" i="4"/>
  <c r="AC58" i="4"/>
  <c r="AB58" i="4"/>
  <c r="AA58" i="4"/>
  <c r="Z58" i="4"/>
  <c r="Y58" i="4"/>
  <c r="X58" i="4"/>
  <c r="W58" i="4"/>
  <c r="AF57" i="4"/>
  <c r="AD57" i="4"/>
  <c r="AC57" i="4"/>
  <c r="AB57" i="4"/>
  <c r="AA57" i="4"/>
  <c r="Z57" i="4"/>
  <c r="Y57" i="4"/>
  <c r="X57" i="4"/>
  <c r="W57" i="4"/>
  <c r="AF56" i="4"/>
  <c r="AD56" i="4"/>
  <c r="AC56" i="4"/>
  <c r="AB56" i="4"/>
  <c r="AA56" i="4"/>
  <c r="Z56" i="4"/>
  <c r="Y56" i="4"/>
  <c r="X56" i="4"/>
  <c r="W56" i="4"/>
  <c r="AF55" i="4"/>
  <c r="AD55" i="4"/>
  <c r="AC55" i="4"/>
  <c r="AB55" i="4"/>
  <c r="AA55" i="4"/>
  <c r="Z55" i="4"/>
  <c r="Y55" i="4"/>
  <c r="X55" i="4"/>
  <c r="W55" i="4"/>
  <c r="AF54" i="4"/>
  <c r="AD54" i="4"/>
  <c r="AC54" i="4"/>
  <c r="AB54" i="4"/>
  <c r="AA54" i="4"/>
  <c r="Z54" i="4"/>
  <c r="Y54" i="4"/>
  <c r="X54" i="4"/>
  <c r="W54" i="4"/>
  <c r="AF53" i="4"/>
  <c r="AD53" i="4"/>
  <c r="AC53" i="4"/>
  <c r="AB53" i="4"/>
  <c r="AA53" i="4"/>
  <c r="Z53" i="4"/>
  <c r="Y53" i="4"/>
  <c r="X53" i="4"/>
  <c r="W53" i="4"/>
  <c r="AF52" i="4"/>
  <c r="AD52" i="4"/>
  <c r="AC52" i="4"/>
  <c r="AB52" i="4"/>
  <c r="AA52" i="4"/>
  <c r="Z52" i="4"/>
  <c r="Y52" i="4"/>
  <c r="X52" i="4"/>
  <c r="W52" i="4"/>
  <c r="AF51" i="4"/>
  <c r="AD51" i="4"/>
  <c r="AC51" i="4"/>
  <c r="AB51" i="4"/>
  <c r="AA51" i="4"/>
  <c r="Z51" i="4"/>
  <c r="Y51" i="4"/>
  <c r="X51" i="4"/>
  <c r="W51" i="4"/>
  <c r="AF50" i="4"/>
  <c r="AD50" i="4"/>
  <c r="AC50" i="4"/>
  <c r="AB50" i="4"/>
  <c r="AA50" i="4"/>
  <c r="Z50" i="4"/>
  <c r="Y50" i="4"/>
  <c r="X50" i="4"/>
  <c r="W50" i="4"/>
  <c r="AF49" i="4"/>
  <c r="AD49" i="4"/>
  <c r="AC49" i="4"/>
  <c r="AB49" i="4"/>
  <c r="AA49" i="4"/>
  <c r="Z49" i="4"/>
  <c r="Y49" i="4"/>
  <c r="X49" i="4"/>
  <c r="W49" i="4"/>
  <c r="AF48" i="4"/>
  <c r="AD48" i="4"/>
  <c r="AC48" i="4"/>
  <c r="AB48" i="4"/>
  <c r="AA48" i="4"/>
  <c r="Z48" i="4"/>
  <c r="Y48" i="4"/>
  <c r="X48" i="4"/>
  <c r="W48" i="4"/>
  <c r="AF47" i="4"/>
  <c r="AD47" i="4"/>
  <c r="AC47" i="4"/>
  <c r="AB47" i="4"/>
  <c r="AA47" i="4"/>
  <c r="Z47" i="4"/>
  <c r="Y47" i="4"/>
  <c r="X47" i="4"/>
  <c r="W47" i="4"/>
  <c r="AF46" i="4"/>
  <c r="AD46" i="4"/>
  <c r="AC46" i="4"/>
  <c r="AB46" i="4"/>
  <c r="AA46" i="4"/>
  <c r="Z46" i="4"/>
  <c r="Y46" i="4"/>
  <c r="X46" i="4"/>
  <c r="W46" i="4"/>
  <c r="AF45" i="4"/>
  <c r="AD45" i="4"/>
  <c r="AC45" i="4"/>
  <c r="AB45" i="4"/>
  <c r="AA45" i="4"/>
  <c r="Z45" i="4"/>
  <c r="Y45" i="4"/>
  <c r="X45" i="4"/>
  <c r="W45" i="4"/>
  <c r="AF44" i="4"/>
  <c r="AD44" i="4"/>
  <c r="AC44" i="4"/>
  <c r="AB44" i="4"/>
  <c r="AA44" i="4"/>
  <c r="Z44" i="4"/>
  <c r="Y44" i="4"/>
  <c r="X44" i="4"/>
  <c r="W44" i="4"/>
  <c r="AF43" i="4"/>
  <c r="AD43" i="4"/>
  <c r="AC43" i="4"/>
  <c r="AB43" i="4"/>
  <c r="AA43" i="4"/>
  <c r="Z43" i="4"/>
  <c r="Y43" i="4"/>
  <c r="X43" i="4"/>
  <c r="W43" i="4"/>
  <c r="AF42" i="4"/>
  <c r="AD42" i="4"/>
  <c r="AC42" i="4"/>
  <c r="AB42" i="4"/>
  <c r="AA42" i="4"/>
  <c r="Z42" i="4"/>
  <c r="Y42" i="4"/>
  <c r="X42" i="4"/>
  <c r="W42" i="4"/>
  <c r="AF35" i="4"/>
  <c r="AD35" i="4"/>
  <c r="AC35" i="4"/>
  <c r="AB35" i="4"/>
  <c r="AA35" i="4"/>
  <c r="Z35" i="4"/>
  <c r="Y35" i="4"/>
  <c r="X35" i="4"/>
  <c r="W35" i="4"/>
  <c r="AF34" i="4"/>
  <c r="AD34" i="4"/>
  <c r="AC34" i="4"/>
  <c r="AB34" i="4"/>
  <c r="AA34" i="4"/>
  <c r="Z34" i="4"/>
  <c r="Y34" i="4"/>
  <c r="X34" i="4"/>
  <c r="W34" i="4"/>
  <c r="AF33" i="4"/>
  <c r="AD33" i="4"/>
  <c r="AC33" i="4"/>
  <c r="AB33" i="4"/>
  <c r="AA33" i="4"/>
  <c r="Z33" i="4"/>
  <c r="Y33" i="4"/>
  <c r="X33" i="4"/>
  <c r="W33" i="4"/>
  <c r="AF32" i="4"/>
  <c r="AD32" i="4"/>
  <c r="AC32" i="4"/>
  <c r="AB32" i="4"/>
  <c r="AA32" i="4"/>
  <c r="Z32" i="4"/>
  <c r="Y32" i="4"/>
  <c r="X32" i="4"/>
  <c r="W32" i="4"/>
  <c r="AF31" i="4"/>
  <c r="AD31" i="4"/>
  <c r="AC31" i="4"/>
  <c r="AB31" i="4"/>
  <c r="AA31" i="4"/>
  <c r="Z31" i="4"/>
  <c r="Y31" i="4"/>
  <c r="X31" i="4"/>
  <c r="W31" i="4"/>
  <c r="AF30" i="4"/>
  <c r="AD30" i="4"/>
  <c r="AC30" i="4"/>
  <c r="AB30" i="4"/>
  <c r="AA30" i="4"/>
  <c r="Z30" i="4"/>
  <c r="Y30" i="4"/>
  <c r="X30" i="4"/>
  <c r="W30" i="4"/>
  <c r="AF25" i="4"/>
  <c r="AD25" i="4"/>
  <c r="AC25" i="4"/>
  <c r="AB25" i="4"/>
  <c r="AA25" i="4"/>
  <c r="Z25" i="4"/>
  <c r="Y25" i="4"/>
  <c r="X25" i="4"/>
  <c r="W25" i="4"/>
  <c r="AF24" i="4"/>
  <c r="AD24" i="4"/>
  <c r="AC24" i="4"/>
  <c r="AB24" i="4"/>
  <c r="AA24" i="4"/>
  <c r="Z24" i="4"/>
  <c r="Y24" i="4"/>
  <c r="X24" i="4"/>
  <c r="W24" i="4"/>
  <c r="AF23" i="4"/>
  <c r="AD23" i="4"/>
  <c r="AC23" i="4"/>
  <c r="AB23" i="4"/>
  <c r="AA23" i="4"/>
  <c r="Z23" i="4"/>
  <c r="Y23" i="4"/>
  <c r="X23" i="4"/>
  <c r="W23" i="4"/>
  <c r="AF22" i="4"/>
  <c r="AD22" i="4"/>
  <c r="AC22" i="4"/>
  <c r="AB22" i="4"/>
  <c r="AA22" i="4"/>
  <c r="Z22" i="4"/>
  <c r="Y22" i="4"/>
  <c r="X22" i="4"/>
  <c r="W22" i="4"/>
  <c r="AF21" i="4"/>
  <c r="AD21" i="4"/>
  <c r="AC21" i="4"/>
  <c r="AB21" i="4"/>
  <c r="AA21" i="4"/>
  <c r="Z21" i="4"/>
  <c r="Y21" i="4"/>
  <c r="X21" i="4"/>
  <c r="W21" i="4"/>
  <c r="AF20" i="4"/>
  <c r="AD20" i="4"/>
  <c r="AC20" i="4"/>
  <c r="AB20" i="4"/>
  <c r="AA20" i="4"/>
  <c r="Z20" i="4"/>
  <c r="Y20" i="4"/>
  <c r="X20" i="4"/>
  <c r="W20" i="4"/>
  <c r="AF19" i="4"/>
  <c r="AD19" i="4"/>
  <c r="AC19" i="4"/>
  <c r="AB19" i="4"/>
  <c r="AA19" i="4"/>
  <c r="Z19" i="4"/>
  <c r="Y19" i="4"/>
  <c r="X19" i="4"/>
  <c r="W19" i="4"/>
  <c r="AF18" i="4"/>
  <c r="AD18" i="4"/>
  <c r="AC18" i="4"/>
  <c r="AB18" i="4"/>
  <c r="AA18" i="4"/>
  <c r="Z18" i="4"/>
  <c r="Y18" i="4"/>
  <c r="X18" i="4"/>
  <c r="W18" i="4"/>
  <c r="AF8" i="4"/>
  <c r="AD8" i="4"/>
  <c r="AC8" i="4"/>
  <c r="AB8" i="4"/>
  <c r="AA8" i="4"/>
  <c r="Z8" i="4"/>
  <c r="Y8" i="4"/>
  <c r="X8" i="4"/>
  <c r="W8" i="4"/>
  <c r="AF7" i="4"/>
  <c r="AD7" i="4"/>
  <c r="AC7" i="4"/>
  <c r="AB7" i="4"/>
  <c r="AA7" i="4"/>
  <c r="Z7" i="4"/>
  <c r="Y7" i="4"/>
  <c r="X7" i="4"/>
  <c r="W7" i="4"/>
  <c r="AF6" i="4"/>
  <c r="AD6" i="4"/>
  <c r="AC6" i="4"/>
  <c r="AB6" i="4"/>
  <c r="AA6" i="4"/>
  <c r="Z6" i="4"/>
  <c r="Y6" i="4"/>
  <c r="X6" i="4"/>
  <c r="W6" i="4"/>
  <c r="AF5" i="4"/>
  <c r="AD5" i="4"/>
  <c r="AC5" i="4"/>
  <c r="AB5" i="4"/>
  <c r="AA5" i="4"/>
  <c r="Z5" i="4"/>
  <c r="Y5" i="4"/>
  <c r="X5" i="4"/>
  <c r="W5" i="4"/>
  <c r="AF4" i="4"/>
  <c r="AD4" i="4"/>
  <c r="AC4" i="4"/>
  <c r="AB4" i="4"/>
  <c r="AA4" i="4"/>
  <c r="Z4" i="4"/>
  <c r="Y4" i="4"/>
  <c r="X4" i="4"/>
  <c r="W4" i="4"/>
  <c r="AL112" i="4" l="1"/>
  <c r="AL131" i="4"/>
  <c r="AL103" i="4"/>
  <c r="AL98" i="4"/>
  <c r="AL91" i="4"/>
  <c r="AL78" i="4"/>
  <c r="AL83" i="4"/>
  <c r="AL67" i="4"/>
  <c r="AL20" i="4"/>
  <c r="AL72" i="4"/>
  <c r="AL120" i="4"/>
  <c r="AL51" i="4"/>
  <c r="AL108" i="4"/>
  <c r="AL116" i="4"/>
  <c r="AL46" i="4"/>
  <c r="AL130" i="4"/>
  <c r="AL124" i="4"/>
  <c r="AL111" i="4"/>
  <c r="AL115" i="4"/>
  <c r="AL119" i="4"/>
  <c r="AL134" i="4"/>
  <c r="AL4" i="4"/>
  <c r="AL118" i="4"/>
  <c r="AL135" i="4"/>
  <c r="AL129" i="4"/>
  <c r="AL133" i="4"/>
  <c r="AL110" i="4"/>
  <c r="AL114" i="4"/>
  <c r="AL122" i="4"/>
  <c r="AL33" i="4"/>
  <c r="AL30" i="4"/>
  <c r="AL31" i="4"/>
  <c r="AL34" i="4"/>
  <c r="AL35" i="4"/>
  <c r="AL55" i="4"/>
  <c r="AL63" i="4"/>
  <c r="AL64" i="4"/>
  <c r="AL68" i="4"/>
  <c r="AL71" i="4"/>
  <c r="AL75" i="4"/>
  <c r="AL76" i="4"/>
  <c r="AL79" i="4"/>
  <c r="AL80" i="4"/>
  <c r="AL84" i="4"/>
  <c r="AL89" i="4"/>
  <c r="AL90" i="4"/>
  <c r="AL99" i="4"/>
  <c r="AL100" i="4"/>
  <c r="AL102" i="4"/>
  <c r="AL104" i="4"/>
  <c r="AL57" i="4"/>
  <c r="AL6" i="4"/>
  <c r="AL7" i="4"/>
  <c r="AL8" i="4"/>
  <c r="AL21" i="4"/>
  <c r="AL24" i="4"/>
  <c r="AL25" i="4"/>
  <c r="AL42" i="4"/>
  <c r="AL43" i="4"/>
  <c r="AL47" i="4"/>
  <c r="AL50" i="4"/>
  <c r="AL54" i="4"/>
  <c r="AL58" i="4"/>
  <c r="AL59" i="4"/>
  <c r="AL66" i="4"/>
  <c r="AL70" i="4"/>
  <c r="AL74" i="4"/>
  <c r="AL82" i="4"/>
  <c r="AL45" i="4"/>
  <c r="AL49" i="4"/>
  <c r="AL53" i="4"/>
  <c r="AL128" i="4"/>
  <c r="AL132" i="4"/>
  <c r="AL109" i="4"/>
  <c r="AL113" i="4"/>
  <c r="AL117" i="4"/>
  <c r="AL121" i="4"/>
  <c r="AL101" i="4"/>
  <c r="AL88" i="4"/>
  <c r="AL65" i="4"/>
  <c r="AL69" i="4"/>
  <c r="AL73" i="4"/>
  <c r="AL77" i="4"/>
  <c r="AL81" i="4"/>
  <c r="AL48" i="4"/>
  <c r="AL56" i="4"/>
  <c r="AL44" i="4"/>
  <c r="AL52" i="4"/>
  <c r="AL32" i="4"/>
  <c r="AL18" i="4"/>
  <c r="AL19" i="4"/>
  <c r="AL23" i="4"/>
  <c r="AL22" i="4"/>
  <c r="AL5" i="4"/>
</calcChain>
</file>

<file path=xl/sharedStrings.xml><?xml version="1.0" encoding="utf-8"?>
<sst xmlns="http://schemas.openxmlformats.org/spreadsheetml/2006/main" count="1214" uniqueCount="448">
  <si>
    <t>UART0_TX</t>
  </si>
  <si>
    <t>UART0_RX</t>
  </si>
  <si>
    <t>UART1_TX</t>
  </si>
  <si>
    <t>UART1_RX</t>
  </si>
  <si>
    <t>UART2_TX</t>
  </si>
  <si>
    <t>UART2_RX</t>
  </si>
  <si>
    <t>TIM[0]</t>
  </si>
  <si>
    <t>TIM[1]</t>
  </si>
  <si>
    <t>TIM[2]</t>
  </si>
  <si>
    <t>TIM[3]</t>
  </si>
  <si>
    <t>TIM[4]</t>
  </si>
  <si>
    <t>TIM[5]</t>
  </si>
  <si>
    <t>TIM[6]</t>
  </si>
  <si>
    <t>TIM[7]</t>
  </si>
  <si>
    <t>TIM[8]</t>
  </si>
  <si>
    <t>TIM[9]</t>
  </si>
  <si>
    <t>TIM[10]</t>
  </si>
  <si>
    <t>TIM[11]</t>
  </si>
  <si>
    <t>TIM[12]</t>
  </si>
  <si>
    <t>TIM[13]</t>
  </si>
  <si>
    <t>TIM[14]</t>
  </si>
  <si>
    <t>TIM[15]</t>
  </si>
  <si>
    <t>TIM[16]</t>
  </si>
  <si>
    <t>TIM[17]</t>
  </si>
  <si>
    <t>TIM[18]</t>
  </si>
  <si>
    <t>TIM[19]</t>
  </si>
  <si>
    <t>TIM[20]</t>
  </si>
  <si>
    <t>TIM[21]</t>
  </si>
  <si>
    <t>TIM[22]</t>
  </si>
  <si>
    <t>TIM[23]</t>
  </si>
  <si>
    <t>PORTA[0]</t>
  </si>
  <si>
    <t>PORTA[1]</t>
  </si>
  <si>
    <t>PORTA[2]</t>
  </si>
  <si>
    <t>PORTA[3]</t>
  </si>
  <si>
    <t>PORTA[4]</t>
  </si>
  <si>
    <t>PORTA[5]</t>
  </si>
  <si>
    <t>PORTA[6]</t>
  </si>
  <si>
    <t>PORTA[7]</t>
  </si>
  <si>
    <t>PORTA[8]</t>
  </si>
  <si>
    <t>PORTA[9]</t>
  </si>
  <si>
    <t>PORTA[10]</t>
  </si>
  <si>
    <t>PORTA[11]</t>
  </si>
  <si>
    <t>PORTA[12]</t>
  </si>
  <si>
    <t>PORTA[13]</t>
  </si>
  <si>
    <t>PORTA[14]</t>
  </si>
  <si>
    <t>PORTA[15]</t>
  </si>
  <si>
    <t>PORTB[0]</t>
  </si>
  <si>
    <t>PORTB[1]</t>
  </si>
  <si>
    <t>PORTB[2]</t>
  </si>
  <si>
    <t>PORTB[3]</t>
  </si>
  <si>
    <t>PORTB[4]</t>
  </si>
  <si>
    <t>PORTB[5]</t>
  </si>
  <si>
    <t>PORTB[6]</t>
  </si>
  <si>
    <t>PORTB[7]</t>
  </si>
  <si>
    <t>PORTB[8]</t>
  </si>
  <si>
    <t>PORTB[9]</t>
  </si>
  <si>
    <t>PORTB[10]</t>
  </si>
  <si>
    <t>PORTB[11]</t>
  </si>
  <si>
    <t>PORTB[12]</t>
  </si>
  <si>
    <t>PORTB[13]</t>
  </si>
  <si>
    <t>PORTB[14]</t>
  </si>
  <si>
    <t>PORTB[15]</t>
  </si>
  <si>
    <t>PORTC[0]</t>
  </si>
  <si>
    <t>PORTC[1]</t>
  </si>
  <si>
    <t>PORTC[2]</t>
  </si>
  <si>
    <t>PORTC[3]</t>
  </si>
  <si>
    <t>PORTC[4]</t>
  </si>
  <si>
    <t>PORTC[5]</t>
  </si>
  <si>
    <t>PORTC[6]</t>
  </si>
  <si>
    <t>PORTC[7]</t>
  </si>
  <si>
    <t>PORTC[8]</t>
  </si>
  <si>
    <t>PORTC[9]</t>
  </si>
  <si>
    <t>PORTC[10]</t>
  </si>
  <si>
    <t>PORTC[11]</t>
  </si>
  <si>
    <t>PORTC[12]</t>
  </si>
  <si>
    <t>PORTC[13]</t>
  </si>
  <si>
    <t>PORTC[14]</t>
  </si>
  <si>
    <t>PORTC[15]</t>
  </si>
  <si>
    <t>PORTD[0]</t>
  </si>
  <si>
    <t>PORTD[1]</t>
  </si>
  <si>
    <t>PORTD[2]</t>
  </si>
  <si>
    <t>PORTD[3]</t>
  </si>
  <si>
    <t>PORTD[4]</t>
  </si>
  <si>
    <t>PORTD[5]</t>
  </si>
  <si>
    <t>PORTD[6]</t>
  </si>
  <si>
    <t>PORTD[7]</t>
  </si>
  <si>
    <t>PORTD[8]</t>
  </si>
  <si>
    <t>PORTD[9]</t>
  </si>
  <si>
    <t>PORTD[10]</t>
  </si>
  <si>
    <t>PORTD[11]</t>
  </si>
  <si>
    <t>PORTD[12]</t>
  </si>
  <si>
    <t>PORTD[13]</t>
  </si>
  <si>
    <t>PORTD[14]</t>
  </si>
  <si>
    <t>PORTD[15]</t>
  </si>
  <si>
    <t>PORTE[0]</t>
  </si>
  <si>
    <t>PORTE[1]</t>
  </si>
  <si>
    <t>PORTE[2]</t>
  </si>
  <si>
    <t>PORTE[3]</t>
  </si>
  <si>
    <t>PORTE[4]</t>
  </si>
  <si>
    <t>PORTE[5]</t>
  </si>
  <si>
    <t>PORTE[6]</t>
  </si>
  <si>
    <t>PORTE[7]</t>
  </si>
  <si>
    <t>PORTE[8]</t>
  </si>
  <si>
    <t>PORTE[9]</t>
  </si>
  <si>
    <t>PORTE[10]</t>
  </si>
  <si>
    <t>PORTE[11]</t>
  </si>
  <si>
    <t>PORTE[12]</t>
  </si>
  <si>
    <t>PORTE[13]</t>
  </si>
  <si>
    <t>PORTE[14]</t>
  </si>
  <si>
    <t>PORTE[15]</t>
  </si>
  <si>
    <t>PORTF[0]</t>
  </si>
  <si>
    <t>PORTF[1]</t>
  </si>
  <si>
    <t>PORTF[2]</t>
  </si>
  <si>
    <t>PORTF[3]</t>
  </si>
  <si>
    <t>PORTF[4]</t>
  </si>
  <si>
    <t>PORTF[5]</t>
  </si>
  <si>
    <t>PORTF[6]</t>
  </si>
  <si>
    <t>PORTF[7]</t>
  </si>
  <si>
    <t>PORTF[8]</t>
  </si>
  <si>
    <t>PORTF[9]</t>
  </si>
  <si>
    <t>PORTF[10]</t>
  </si>
  <si>
    <t>PORTF[11]</t>
  </si>
  <si>
    <t>PORTF[12]</t>
  </si>
  <si>
    <t>PORTF[13]</t>
  </si>
  <si>
    <t>PORTF[14]</t>
  </si>
  <si>
    <t>PORTF[15]</t>
  </si>
  <si>
    <t>PACKAGE PIN NAME</t>
  </si>
  <si>
    <t>PIN#</t>
  </si>
  <si>
    <t>ALT 1 FUNCTION</t>
  </si>
  <si>
    <t>ALT 2 FUNCTION</t>
  </si>
  <si>
    <t>ALT 3 FUNCTION</t>
  </si>
  <si>
    <t xml:space="preserve"> </t>
  </si>
  <si>
    <t>UART0_CTS</t>
  </si>
  <si>
    <t>Not assigned</t>
  </si>
  <si>
    <t>UART0_RTS</t>
  </si>
  <si>
    <t>UART1_CTS</t>
  </si>
  <si>
    <t>TDO/SWO</t>
  </si>
  <si>
    <t>--------</t>
  </si>
  <si>
    <t>TCK/SWCLK</t>
  </si>
  <si>
    <t xml:space="preserve">TDI </t>
  </si>
  <si>
    <t>TRSTn</t>
  </si>
  <si>
    <t>TMS/SWDIO</t>
  </si>
  <si>
    <t>VDD33</t>
  </si>
  <si>
    <t>VSS</t>
  </si>
  <si>
    <t>VDD15</t>
  </si>
  <si>
    <t>UART1_RTS</t>
  </si>
  <si>
    <t>UART2_CTS</t>
  </si>
  <si>
    <t>SPI2_MOSI</t>
  </si>
  <si>
    <t>UART2_RTS</t>
  </si>
  <si>
    <t>SPI2_MISO</t>
  </si>
  <si>
    <t>SPI1_MOSI</t>
  </si>
  <si>
    <t>SPI2_SCK</t>
  </si>
  <si>
    <t>SPI1_MISO</t>
  </si>
  <si>
    <t>SPI2_SS0</t>
  </si>
  <si>
    <t>SPI1_SCK</t>
  </si>
  <si>
    <t>SPI2_SS1</t>
  </si>
  <si>
    <t>ROM_MOSI</t>
  </si>
  <si>
    <t>ROM_MISO</t>
  </si>
  <si>
    <t>ROM_SCK</t>
  </si>
  <si>
    <t>ROM_SS</t>
  </si>
  <si>
    <t>SPI1_SS0</t>
  </si>
  <si>
    <t>SPI2_SS2</t>
  </si>
  <si>
    <t>EBI_WEN</t>
  </si>
  <si>
    <t>SPI2_SS3</t>
  </si>
  <si>
    <t>EBI_OEN</t>
  </si>
  <si>
    <t>SPI2_SS4</t>
  </si>
  <si>
    <t>EBI_CE[3]</t>
  </si>
  <si>
    <t>EBI_CE[2]</t>
  </si>
  <si>
    <t>EBI_CE[1]</t>
  </si>
  <si>
    <t>NVM_PROTn</t>
  </si>
  <si>
    <t>TEST_MODE/VSS</t>
  </si>
  <si>
    <t>EBI_BOOT</t>
  </si>
  <si>
    <t>EBI_CE[0]</t>
  </si>
  <si>
    <t>SPI1_SS1</t>
  </si>
  <si>
    <t>SPI1_SS2</t>
  </si>
  <si>
    <t>EBI_D[0]</t>
  </si>
  <si>
    <t>SPI1_SS3</t>
  </si>
  <si>
    <t>EBI_D[1]</t>
  </si>
  <si>
    <t>SPI1_SS4</t>
  </si>
  <si>
    <t>EBI_D[2]</t>
  </si>
  <si>
    <t>SPI1_SS5</t>
  </si>
  <si>
    <t>EBI_D[3]</t>
  </si>
  <si>
    <t>SPI1_SS6</t>
  </si>
  <si>
    <t>EBI_D[4]</t>
  </si>
  <si>
    <t>SPI1_SS7</t>
  </si>
  <si>
    <t>EBI_D[5]</t>
  </si>
  <si>
    <t>EBI_D[6]</t>
  </si>
  <si>
    <t>EBI_D[7]</t>
  </si>
  <si>
    <t>EBI_D[8]</t>
  </si>
  <si>
    <t>EBI_D[9]</t>
  </si>
  <si>
    <t>EBI_D[10]</t>
  </si>
  <si>
    <t>EBI_D[11]</t>
  </si>
  <si>
    <t>EBI_D[12]</t>
  </si>
  <si>
    <t>EBI_D[13]</t>
  </si>
  <si>
    <t>EBI_D[14]</t>
  </si>
  <si>
    <t>EBI_D[15]</t>
  </si>
  <si>
    <t>EBI_A[23]</t>
  </si>
  <si>
    <t>EBI_A[22]</t>
  </si>
  <si>
    <t>EBI_A[21]</t>
  </si>
  <si>
    <t>EBI_A[20]</t>
  </si>
  <si>
    <t>EBI_A[19]</t>
  </si>
  <si>
    <t>EBI_A[18]</t>
  </si>
  <si>
    <t>EBI_A[17]</t>
  </si>
  <si>
    <t>EBI_A[16]</t>
  </si>
  <si>
    <t>EBI_A[15]</t>
  </si>
  <si>
    <t>EBI_A[14]</t>
  </si>
  <si>
    <t>EBI_A[13]</t>
  </si>
  <si>
    <t>EBI_A[12]</t>
  </si>
  <si>
    <t>EBI_A[11]</t>
  </si>
  <si>
    <t>EBI_A[10]</t>
  </si>
  <si>
    <t>EBI_A[9]</t>
  </si>
  <si>
    <t>EBI_A[8]</t>
  </si>
  <si>
    <t>EBI_A[7]</t>
  </si>
  <si>
    <t>EBI_A[6]</t>
  </si>
  <si>
    <t>EBI_A[5]</t>
  </si>
  <si>
    <t>EBI_A[4]</t>
  </si>
  <si>
    <t>EBI_A[3]</t>
  </si>
  <si>
    <t>EBI_A[2]</t>
  </si>
  <si>
    <t>EBI_A[1]</t>
  </si>
  <si>
    <t>EBI_A[0]</t>
  </si>
  <si>
    <t>SPI0_MOSI</t>
  </si>
  <si>
    <t>I2C2_SCL</t>
  </si>
  <si>
    <t>I2C2_SDA</t>
  </si>
  <si>
    <t>CAN1_Tx</t>
  </si>
  <si>
    <t>CAN1_Rx</t>
  </si>
  <si>
    <t>I2C1_SCL</t>
  </si>
  <si>
    <t>I2C1_SDA</t>
  </si>
  <si>
    <t>SPI0_MISO</t>
  </si>
  <si>
    <t>SPI0_SCK</t>
  </si>
  <si>
    <t>SPI0_SS0</t>
  </si>
  <si>
    <t>SPI0_SS1</t>
  </si>
  <si>
    <t>SPI0_SS2</t>
  </si>
  <si>
    <t>SPI0_SS3</t>
  </si>
  <si>
    <t>ETH_PPS_OUT</t>
  </si>
  <si>
    <t>ETH_CRS</t>
  </si>
  <si>
    <t>ETH_COL</t>
  </si>
  <si>
    <t>ETH_TxD3</t>
  </si>
  <si>
    <t>ETH_TxD2</t>
  </si>
  <si>
    <t>ETH_TxD1</t>
  </si>
  <si>
    <t>ETH_TxD0</t>
  </si>
  <si>
    <t>ETH_Tx_EN</t>
  </si>
  <si>
    <t>ETH_Tx_CLK</t>
  </si>
  <si>
    <t>ETH_Tx_ER</t>
  </si>
  <si>
    <t>ETH_Rx_ER</t>
  </si>
  <si>
    <t>ETH_Rx_CLK</t>
  </si>
  <si>
    <t>ETH_Rx_DV</t>
  </si>
  <si>
    <t>ETH_RxD0</t>
  </si>
  <si>
    <t>ETH_RxD1</t>
  </si>
  <si>
    <t>ETH_RxD2</t>
  </si>
  <si>
    <t>ETH_RxD3</t>
  </si>
  <si>
    <t>ETH_MDC</t>
  </si>
  <si>
    <t>SPI2_SS5</t>
  </si>
  <si>
    <t>ETH_MDIO</t>
  </si>
  <si>
    <t>SPI2_SS6</t>
  </si>
  <si>
    <t>AN_OUT0</t>
  </si>
  <si>
    <t>AN_OUT1</t>
  </si>
  <si>
    <t>AT_OUT/AVSS</t>
  </si>
  <si>
    <t>VREFH</t>
  </si>
  <si>
    <t>AN_IN0</t>
  </si>
  <si>
    <t>AN_IN1</t>
  </si>
  <si>
    <t>AN_IN2</t>
  </si>
  <si>
    <t>AN_IN3</t>
  </si>
  <si>
    <t>AN_IN4</t>
  </si>
  <si>
    <t>AN_IN5</t>
  </si>
  <si>
    <t>AN_IN6</t>
  </si>
  <si>
    <t>AN_IN7</t>
  </si>
  <si>
    <t>A_VDD33</t>
  </si>
  <si>
    <t>A_VSS</t>
  </si>
  <si>
    <t>A_VDD15</t>
  </si>
  <si>
    <t>VDDQ_EFUSE</t>
  </si>
  <si>
    <t>XTAL+</t>
  </si>
  <si>
    <t>XTAL-</t>
  </si>
  <si>
    <t>EXT15_SEL</t>
  </si>
  <si>
    <t>EXTRESETn</t>
  </si>
  <si>
    <t>NMI</t>
  </si>
  <si>
    <t>152/154</t>
  </si>
  <si>
    <t>PORTG[7]</t>
  </si>
  <si>
    <t>PORTG[6]</t>
  </si>
  <si>
    <t>PORTG[5]</t>
  </si>
  <si>
    <t>PORTG[4]</t>
  </si>
  <si>
    <t>PORTG[3]</t>
  </si>
  <si>
    <t>PORTG[2]</t>
  </si>
  <si>
    <t>PORTG[1]</t>
  </si>
  <si>
    <t>PORTG[0]</t>
  </si>
  <si>
    <t>CAN0_Rx</t>
  </si>
  <si>
    <t>CAN0_Tx</t>
  </si>
  <si>
    <t>I2C0_SDA</t>
  </si>
  <si>
    <t>I2C0_SCL</t>
  </si>
  <si>
    <t>SW_TX+</t>
  </si>
  <si>
    <t>SW_TX-</t>
  </si>
  <si>
    <t>SW_TXSTR+</t>
  </si>
  <si>
    <t>SW_TXSTR-</t>
  </si>
  <si>
    <t>SW_RX+</t>
  </si>
  <si>
    <t>SW_RX-</t>
  </si>
  <si>
    <t>SW_RXSTR+</t>
  </si>
  <si>
    <t>SW_RXSTR-</t>
  </si>
  <si>
    <t>Alt 1 ?</t>
  </si>
  <si>
    <t xml:space="preserve">Alt 2? </t>
  </si>
  <si>
    <t xml:space="preserve">Alt 3? </t>
  </si>
  <si>
    <t>FLT_CLK(0-7)</t>
  </si>
  <si>
    <t>FLT_TYPE(0-5)</t>
  </si>
  <si>
    <t>IEWO</t>
  </si>
  <si>
    <t>PEN? (Y/N)</t>
  </si>
  <si>
    <t>PWOA (Y/N)</t>
  </si>
  <si>
    <t xml:space="preserve">IODIS? (Y/N) </t>
  </si>
  <si>
    <t>INVINP ? (Y/N)</t>
  </si>
  <si>
    <t>IEWO (Y/N)</t>
  </si>
  <si>
    <t>OPEN_DRN? (Y/N)</t>
  </si>
  <si>
    <t>INV_OUT? (Y/N)</t>
  </si>
  <si>
    <t>PLVL? (H/L)</t>
  </si>
  <si>
    <t>Cut &amp; Paste</t>
  </si>
  <si>
    <t>FUNSEL</t>
  </si>
  <si>
    <t xml:space="preserve">INVINP </t>
  </si>
  <si>
    <t>OPEN_DRN</t>
  </si>
  <si>
    <t>INV_OUT</t>
  </si>
  <si>
    <t>PLVL</t>
  </si>
  <si>
    <t>PEN</t>
  </si>
  <si>
    <t xml:space="preserve">PWOA </t>
  </si>
  <si>
    <t>IODIS</t>
  </si>
  <si>
    <t>y</t>
  </si>
  <si>
    <t>PORTF</t>
  </si>
  <si>
    <t>PORTE</t>
  </si>
  <si>
    <t>PORTD</t>
  </si>
  <si>
    <t>PORTC</t>
  </si>
  <si>
    <t>PORTB</t>
  </si>
  <si>
    <t>PORTA</t>
  </si>
  <si>
    <t>PORTG</t>
  </si>
  <si>
    <t>port #</t>
  </si>
  <si>
    <t>If GPIO? (In or Out)</t>
  </si>
  <si>
    <t>GPIO?</t>
  </si>
  <si>
    <t xml:space="preserve">IOCFG_PINCFG_END
};
/*****************************************************************************/ 
/* End of file                                                               */ 
/*****************************************************************************/
</t>
  </si>
  <si>
    <t>Selection Valid?</t>
  </si>
  <si>
    <t xml:space="preserve"> 9</t>
  </si>
  <si>
    <t xml:space="preserve"> 8</t>
  </si>
  <si>
    <t xml:space="preserve"> 7</t>
  </si>
  <si>
    <t xml:space="preserve"> 6</t>
  </si>
  <si>
    <t xml:space="preserve"> 5</t>
  </si>
  <si>
    <t xml:space="preserve"> 4</t>
  </si>
  <si>
    <t xml:space="preserve"> 3</t>
  </si>
  <si>
    <t xml:space="preserve"> 2</t>
  </si>
  <si>
    <t xml:space="preserve"> 1</t>
  </si>
  <si>
    <t xml:space="preserve"> 0</t>
  </si>
  <si>
    <t>{VOR_PORTF, 0,en_iocfg_dir__input, {{.fltclk=0,.invinp=0,.iewo=0,.opendrn=0,.invout=0,.plevel=0,.pen=0,.pwoa=0,.funsel=0,.iodis=0}}},</t>
  </si>
  <si>
    <t>{VOR_PORTE,12,en_iocfg_dir__input, {{.fltclk=0,.invinp=0,.iewo=0,.opendrn=0,.invout=0,.plevel=0,.pen=0,.pwoa=0,.funsel=0,.iodis=0}}},</t>
  </si>
  <si>
    <t>{VOR_PORTE,11,en_iocfg_dir__input, {{.fltclk=0,.invinp=0,.iewo=0,.opendrn=0,.invout=0,.plevel=0,.pen=0,.pwoa=0,.funsel=0,.iodis=0}}},</t>
  </si>
  <si>
    <t>{VOR_PORTE,10,en_iocfg_dir__input, {{.fltclk=0,.invinp=0,.iewo=0,.opendrn=0,.invout=0,.plevel=0,.pen=0,.pwoa=0,.funsel=0,.iodis=0}}},</t>
  </si>
  <si>
    <t>{VOR_PORTD,15,en_iocfg_dir__input, {{.fltclk=0,.invinp=0,.iewo=0,.opendrn=0,.invout=0,.plevel=0,.pen=0,.pwoa=0,.funsel=0,.iodis=0}}},</t>
  </si>
  <si>
    <t>{VOR_PORTD,14,en_iocfg_dir__input, {{.fltclk=0,.invinp=0,.iewo=0,.opendrn=0,.invout=0,.plevel=0,.pen=0,.pwoa=0,.funsel=0,.iodis=0}}},</t>
  </si>
  <si>
    <t>{VOR_PORTD,13,en_iocfg_dir__input, {{.fltclk=0,.invinp=0,.iewo=0,.opendrn=0,.invout=0,.plevel=0,.pen=0,.pwoa=0,.funsel=0,.iodis=0}}},</t>
  </si>
  <si>
    <t>{VOR_PORTD,12,en_iocfg_dir__input, {{.fltclk=0,.invinp=0,.iewo=0,.opendrn=0,.invout=0,.plevel=0,.pen=0,.pwoa=0,.funsel=0,.iodis=0}}},</t>
  </si>
  <si>
    <t>{VOR_PORTD,11,en_iocfg_dir__input, {{.fltclk=0,.invinp=0,.iewo=0,.opendrn=0,.invout=0,.plevel=0,.pen=0,.pwoa=0,.funsel=0,.iodis=0}}},</t>
  </si>
  <si>
    <t>{VOR_PORTD, 9,en_iocfg_dir__input, {{.fltclk=0,.invinp=0,.iewo=0,.opendrn=0,.invout=0,.plevel=0,.pen=0,.pwoa=0,.funsel=0,.iodis=0}}},</t>
  </si>
  <si>
    <t>{VOR_PORTD, 8,en_iocfg_dir__input, {{.fltclk=0,.invinp=0,.iewo=0,.opendrn=0,.invout=0,.plevel=0,.pen=0,.pwoa=0,.funsel=0,.iodis=0}}},</t>
  </si>
  <si>
    <t>{VOR_PORTD, 7,en_iocfg_dir__input, {{.fltclk=0,.invinp=0,.iewo=0,.opendrn=0,.invout=0,.plevel=0,.pen=0,.pwoa=0,.funsel=0,.iodis=0}}},</t>
  </si>
  <si>
    <t>{VOR_PORTD, 6,en_iocfg_dir__input, {{.fltclk=0,.invinp=0,.iewo=0,.opendrn=0,.invout=0,.plevel=0,.pen=0,.pwoa=0,.funsel=0,.iodis=0}}},</t>
  </si>
  <si>
    <t>{VOR_PORTD, 5,en_iocfg_dir__input, {{.fltclk=0,.invinp=0,.iewo=0,.opendrn=0,.invout=0,.plevel=0,.pen=0,.pwoa=0,.funsel=0,.iodis=0}}},</t>
  </si>
  <si>
    <t>{VOR_PORTD, 3,en_iocfg_dir__input, {{.fltclk=0,.invinp=0,.iewo=0,.opendrn=0,.invout=0,.plevel=0,.pen=0,.pwoa=0,.funsel=0,.iodis=0}}},</t>
  </si>
  <si>
    <t>{VOR_PORTD, 1,en_iocfg_dir__input, {{.fltclk=0,.invinp=0,.iewo=0,.opendrn=0,.invout=0,.plevel=0,.pen=0,.pwoa=0,.funsel=0,.iodis=0}}},</t>
  </si>
  <si>
    <t>{VOR_PORTD, 0,en_iocfg_dir__input, {{.fltclk=0,.invinp=0,.iewo=0,.opendrn=0,.invout=0,.plevel=0,.pen=0,.pwoa=0,.funsel=0,.iodis=0}}},</t>
  </si>
  <si>
    <t>{VOR_PORTC,15,en_iocfg_dir__input, {{.fltclk=0,.invinp=0,.iewo=0,.opendrn=0,.invout=0,.plevel=0,.pen=0,.pwoa=0,.funsel=0,.iodis=0}}},</t>
  </si>
  <si>
    <t>{VOR_PORTC,14,en_iocfg_dir__input, {{.fltclk=0,.invinp=0,.iewo=0,.opendrn=0,.invout=0,.plevel=0,.pen=0,.pwoa=0,.funsel=0,.iodis=0}}},</t>
  </si>
  <si>
    <t>{VOR_PORTC,13,en_iocfg_dir__input, {{.fltclk=0,.invinp=0,.iewo=0,.opendrn=0,.invout=0,.plevel=0,.pen=0,.pwoa=0,.funsel=0,.iodis=0}}},</t>
  </si>
  <si>
    <t>{VOR_PORTC,12,en_iocfg_dir__input, {{.fltclk=0,.invinp=0,.iewo=0,.opendrn=0,.invout=0,.plevel=0,.pen=0,.pwoa=0,.funsel=0,.iodis=0}}},</t>
  </si>
  <si>
    <t>{VOR_PORTC,11,en_iocfg_dir__input, {{.fltclk=0,.invinp=0,.iewo=0,.opendrn=0,.invout=0,.plevel=0,.pen=0,.pwoa=0,.funsel=0,.iodis=0}}},</t>
  </si>
  <si>
    <t>{VOR_PORTC,10,en_iocfg_dir__input, {{.fltclk=0,.invinp=0,.iewo=0,.opendrn=0,.invout=0,.plevel=0,.pen=0,.pwoa=0,.funsel=0,.iodis=0}}},</t>
  </si>
  <si>
    <t>{VOR_PORTC, 9,en_iocfg_dir__input, {{.fltclk=0,.invinp=0,.iewo=0,.opendrn=0,.invout=0,.plevel=0,.pen=0,.pwoa=0,.funsel=0,.iodis=0}}},</t>
  </si>
  <si>
    <t>{VOR_PORTC, 8,en_iocfg_dir__input, {{.fltclk=0,.invinp=0,.iewo=0,.opendrn=0,.invout=0,.plevel=0,.pen=0,.pwoa=0,.funsel=0,.iodis=0}}},</t>
  </si>
  <si>
    <t>{VOR_PORTC, 7,en_iocfg_dir__input, {{.fltclk=0,.invinp=0,.iewo=0,.opendrn=0,.invout=0,.plevel=0,.pen=0,.pwoa=0,.funsel=0,.iodis=0}}},</t>
  </si>
  <si>
    <t>{VOR_PORTC, 6,en_iocfg_dir__input, {{.fltclk=0,.invinp=0,.iewo=0,.opendrn=0,.invout=0,.plevel=0,.pen=0,.pwoa=0,.funsel=0,.iodis=0}}},</t>
  </si>
  <si>
    <t>{VOR_PORTC, 5,en_iocfg_dir__input, {{.fltclk=0,.invinp=0,.iewo=0,.opendrn=0,.invout=0,.plevel=0,.pen=0,.pwoa=0,.funsel=0,.iodis=0}}},</t>
  </si>
  <si>
    <t>{VOR_PORTC, 4,en_iocfg_dir__input, {{.fltclk=0,.invinp=0,.iewo=0,.opendrn=0,.invout=0,.plevel=0,.pen=0,.pwoa=0,.funsel=0,.iodis=0}}},</t>
  </si>
  <si>
    <t>{VOR_PORTC, 3,en_iocfg_dir__input, {{.fltclk=0,.invinp=0,.iewo=0,.opendrn=0,.invout=0,.plevel=0,.pen=0,.pwoa=0,.funsel=0,.iodis=0}}},</t>
  </si>
  <si>
    <t>{VOR_PORTC, 2,en_iocfg_dir__input, {{.fltclk=0,.invinp=0,.iewo=0,.opendrn=0,.invout=0,.plevel=0,.pen=0,.pwoa=0,.funsel=0,.iodis=0}}},</t>
  </si>
  <si>
    <t>out</t>
  </si>
  <si>
    <t>{VOR_PORTD,10,en_iocfg_dir__input, {{.fltclk=0,.invinp=0,.iewo=0,.opendrn=0,.invout=0,.plevel=0,.pen=0,.pwoa=0,.funsel=0,.iodis=0}}},</t>
  </si>
  <si>
    <t>{VOR_PORTA, 1,en_iocfg_dir__input, {{.fltclk=0,.invinp=0,.iewo=0,.opendrn=0,.invout=0,.plevel=0,.pen=0,.pwoa=0,.funsel=0,.iodis=0}}},</t>
  </si>
  <si>
    <t>{VOR_PORTA, 0,en_iocfg_dir__input, {{.fltclk=0,.invinp=0,.iewo=0,.opendrn=0,.invout=0,.plevel=0,.pen=0,.pwoa=0,.funsel=0,.iodis=0}}},</t>
  </si>
  <si>
    <t>{VOR_PORTF,15,en_iocfg_dir__input, {{.fltclk=0,.invinp=0,.iewo=0,.opendrn=0,.invout=0,.plevel=0,.pen=0,.pwoa=0,.funsel=0,.iodis=0}}},</t>
  </si>
  <si>
    <t>{VOR_PORTF,14,en_iocfg_dir__input, {{.fltclk=0,.invinp=0,.iewo=0,.opendrn=0,.invout=0,.plevel=0,.pen=0,.pwoa=0,.funsel=0,.iodis=0}}},</t>
  </si>
  <si>
    <t>{VOR_PORTF,13,en_iocfg_dir__input, {{.fltclk=0,.invinp=0,.iewo=0,.opendrn=0,.invout=0,.plevel=0,.pen=0,.pwoa=0,.funsel=0,.iodis=0}}},</t>
  </si>
  <si>
    <t>{VOR_PORTF,12,en_iocfg_dir__input, {{.fltclk=0,.invinp=0,.iewo=0,.opendrn=0,.invout=0,.plevel=0,.pen=0,.pwoa=0,.funsel=0,.iodis=0}}},</t>
  </si>
  <si>
    <t>{VOR_PORTF,11,en_iocfg_dir__input, {{.fltclk=0,.invinp=0,.iewo=0,.opendrn=0,.invout=0,.plevel=0,.pen=0,.pwoa=0,.funsel=0,.iodis=0}}},</t>
  </si>
  <si>
    <t>{VOR_PORTF,10,en_iocfg_dir__input, {{.fltclk=0,.invinp=0,.iewo=0,.opendrn=0,.invout=0,.plevel=0,.pen=0,.pwoa=0,.funsel=0,.iodis=0}}},</t>
  </si>
  <si>
    <t>{VOR_PORTF, 1,en_iocfg_dir__input, {{.fltclk=0,.invinp=0,.iewo=0,.opendrn=0,.invout=0,.plevel=0,.pen=0,.pwoa=0,.funsel=0,.iodis=0}}},</t>
  </si>
  <si>
    <t>{VOR_PORTE,15,en_iocfg_dir__input, {{.fltclk=0,.invinp=0,.iewo=0,.opendrn=0,.invout=0,.plevel=0,.pen=0,.pwoa=0,.funsel=0,.iodis=0}}},</t>
  </si>
  <si>
    <t>{VOR_PORTE,14,en_iocfg_dir__input, {{.fltclk=0,.invinp=0,.iewo=0,.opendrn=0,.invout=0,.plevel=0,.pen=0,.pwoa=0,.funsel=0,.iodis=0}}},</t>
  </si>
  <si>
    <t>{VOR_PORTE,13,en_iocfg_dir__input, {{.fltclk=0,.invinp=0,.iewo=0,.opendrn=0,.invout=0,.plevel=0,.pen=0,.pwoa=0,.funsel=0,.iodis=0}}},</t>
  </si>
  <si>
    <t>{VOR_PORTE, 9,en_iocfg_dir__input, {{.fltclk=0,.invinp=0,.iewo=0,.opendrn=0,.invout=0,.plevel=0,.pen=0,.pwoa=0,.funsel=0,.iodis=0}}},</t>
  </si>
  <si>
    <t>{VOR_PORTE, 8,en_iocfg_dir__input, {{.fltclk=0,.invinp=0,.iewo=0,.opendrn=0,.invout=0,.plevel=0,.pen=0,.pwoa=0,.funsel=0,.iodis=0}}},</t>
  </si>
  <si>
    <t>{VOR_PORTE, 7,en_iocfg_dir__input, {{.fltclk=0,.invinp=0,.iewo=0,.opendrn=0,.invout=0,.plevel=0,.pen=0,.pwoa=0,.funsel=0,.iodis=0}}},</t>
  </si>
  <si>
    <t>{VOR_PORTE, 6,en_iocfg_dir__input, {{.fltclk=0,.invinp=0,.iewo=0,.opendrn=0,.invout=0,.plevel=0,.pen=0,.pwoa=0,.funsel=0,.iodis=0}}},</t>
  </si>
  <si>
    <t>{VOR_PORTE, 5,en_iocfg_dir__input, {{.fltclk=0,.invinp=0,.iewo=0,.opendrn=0,.invout=0,.plevel=0,.pen=0,.pwoa=0,.funsel=0,.iodis=0}}},</t>
  </si>
  <si>
    <t>{VOR_PORTE, 4,en_iocfg_dir__input, {{.fltclk=0,.invinp=0,.iewo=0,.opendrn=0,.invout=0,.plevel=0,.pen=0,.pwoa=0,.funsel=0,.iodis=0}}},</t>
  </si>
  <si>
    <t>{VOR_PORTE, 3,en_iocfg_dir__input, {{.fltclk=0,.invinp=0,.iewo=0,.opendrn=0,.invout=0,.plevel=0,.pen=0,.pwoa=0,.funsel=0,.iodis=0}}},</t>
  </si>
  <si>
    <t>{VOR_PORTE, 2,en_iocfg_dir__input, {{.fltclk=0,.invinp=0,.iewo=0,.opendrn=0,.invout=0,.plevel=0,.pen=0,.pwoa=0,.funsel=0,.iodis=0}}},</t>
  </si>
  <si>
    <t>{VOR_PORTE, 1,en_iocfg_dir__input, {{.fltclk=0,.invinp=0,.iewo=0,.opendrn=0,.invout=0,.plevel=0,.pen=0,.pwoa=0,.funsel=0,.iodis=0}}},</t>
  </si>
  <si>
    <t>{VOR_PORTE, 0,en_iocfg_dir__input, {{.fltclk=0,.invinp=0,.iewo=0,.opendrn=0,.invout=0,.plevel=0,.pen=0,.pwoa=0,.funsel=0,.iodis=0}}},</t>
  </si>
  <si>
    <t>{VOR_PORTD, 4,en_iocfg_dir__input, {{.fltclk=0,.invinp=0,.iewo=0,.opendrn=0,.invout=0,.plevel=0,.pen=0,.pwoa=0,.funsel=0,.iodis=0}}},</t>
  </si>
  <si>
    <t>{VOR_PORTD, 2,en_iocfg_dir__input, {{.fltclk=0,.invinp=0,.iewo=0,.opendrn=0,.invout=0,.plevel=0,.pen=0,.pwoa=0,.funsel=0,.iodis=0}}},</t>
  </si>
  <si>
    <t>{VOR_PORTC, 1,en_iocfg_dir__input, {{.fltclk=0,.invinp=0,.iewo=0,.opendrn=0,.invout=0,.plevel=0,.pen=0,.pwoa=0,.funsel=0,.iodis=0}}},</t>
  </si>
  <si>
    <t>{VOR_PORTC, 0,en_iocfg_dir__input, {{.fltclk=0,.invinp=0,.iewo=0,.opendrn=0,.invout=0,.plevel=0,.pen=0,.pwoa=0,.funsel=0,.iodis=0}}},</t>
  </si>
  <si>
    <t>{VOR_PORTB,11,en_iocfg_dir__input, {{.fltclk=0,.invinp=0,.iewo=0,.opendrn=0,.invout=0,.plevel=0,.pen=0,.pwoa=0,.funsel=0,.iodis=0}}},</t>
  </si>
  <si>
    <t>{VOR_PORTB,10,en_iocfg_dir__input, {{.fltclk=0,.invinp=0,.iewo=0,.opendrn=0,.invout=0,.plevel=0,.pen=0,.pwoa=0,.funsel=0,.iodis=0}}},</t>
  </si>
  <si>
    <t>{VOR_PORTB, 9,en_iocfg_dir__input, {{.fltclk=0,.invinp=0,.iewo=0,.opendrn=0,.invout=0,.plevel=0,.pen=0,.pwoa=0,.funsel=0,.iodis=0}}},</t>
  </si>
  <si>
    <t>{VOR_PORTB, 8,en_iocfg_dir__input, {{.fltclk=0,.invinp=0,.iewo=0,.opendrn=0,.invout=0,.plevel=0,.pen=0,.pwoa=0,.funsel=0,.iodis=0}}},</t>
  </si>
  <si>
    <t>{VOR_PORTB, 7,en_iocfg_dir__input, {{.fltclk=0,.invinp=0,.iewo=0,.opendrn=0,.invout=0,.plevel=0,.pen=0,.pwoa=0,.funsel=0,.iodis=0}}},</t>
  </si>
  <si>
    <t>{VOR_PORTB, 6,en_iocfg_dir__input, {{.fltclk=0,.invinp=0,.iewo=0,.opendrn=0,.invout=0,.plevel=0,.pen=0,.pwoa=0,.funsel=0,.iodis=0}}},</t>
  </si>
  <si>
    <t>{VOR_PORTB, 5,en_iocfg_dir__input, {{.fltclk=0,.invinp=0,.iewo=0,.opendrn=0,.invout=0,.plevel=0,.pen=0,.pwoa=0,.funsel=0,.iodis=0}}},</t>
  </si>
  <si>
    <t>{VOR_PORTB, 4,en_iocfg_dir__input, {{.fltclk=0,.invinp=0,.iewo=0,.opendrn=0,.invout=0,.plevel=0,.pen=0,.pwoa=0,.funsel=0,.iodis=0}}},</t>
  </si>
  <si>
    <t>{VOR_PORTB, 3,en_iocfg_dir__input, {{.fltclk=0,.invinp=0,.iewo=0,.opendrn=0,.invout=0,.plevel=0,.pen=0,.pwoa=0,.funsel=0,.iodis=0}}},</t>
  </si>
  <si>
    <t>{VOR_PORTB, 2,en_iocfg_dir__input, {{.fltclk=0,.invinp=0,.iewo=0,.opendrn=0,.invout=0,.plevel=0,.pen=0,.pwoa=0,.funsel=0,.iodis=0}}},</t>
  </si>
  <si>
    <t>{VOR_PORTB, 1,en_iocfg_dir__input, {{.fltclk=0,.invinp=0,.iewo=0,.opendrn=0,.invout=0,.plevel=0,.pen=0,.pwoa=0,.funsel=0,.iodis=0}}},</t>
  </si>
  <si>
    <t>{VOR_PORTB, 0,en_iocfg_dir__input, {{.fltclk=0,.invinp=0,.iewo=0,.opendrn=0,.invout=0,.plevel=0,.pen=0,.pwoa=0,.funsel=0,.iodis=0}}},</t>
  </si>
  <si>
    <t>{VOR_PORTA,15,en_iocfg_dir__input, {{.fltclk=0,.invinp=0,.iewo=0,.opendrn=0,.invout=0,.plevel=0,.pen=0,.pwoa=0,.funsel=0,.iodis=0}}},</t>
  </si>
  <si>
    <t>{VOR_PORTA,14,en_iocfg_dir__input, {{.fltclk=0,.invinp=0,.iewo=0,.opendrn=0,.invout=0,.plevel=0,.pen=0,.pwoa=0,.funsel=0,.iodis=0}}},</t>
  </si>
  <si>
    <t>{VOR_PORTA,13,en_iocfg_dir__input, {{.fltclk=0,.invinp=0,.iewo=0,.opendrn=0,.invout=0,.plevel=0,.pen=0,.pwoa=0,.funsel=0,.iodis=0}}},</t>
  </si>
  <si>
    <t>{VOR_PORTA,12,en_iocfg_dir__input, {{.fltclk=0,.invinp=0,.iewo=0,.opendrn=0,.invout=0,.plevel=0,.pen=0,.pwoa=0,.funsel=0,.iodis=0}}},</t>
  </si>
  <si>
    <t>{VOR_PORTA,11,en_iocfg_dir__input, {{.fltclk=0,.invinp=0,.iewo=0,.opendrn=0,.invout=0,.plevel=0,.pen=0,.pwoa=0,.funsel=0,.iodis=0}}},</t>
  </si>
  <si>
    <t>{VOR_PORTA,10,en_iocfg_dir__input, {{.fltclk=0,.invinp=0,.iewo=0,.opendrn=0,.invout=0,.plevel=0,.pen=0,.pwoa=0,.funsel=0,.iodis=0}}},</t>
  </si>
  <si>
    <t>{VOR_PORTA, 9,en_iocfg_dir__input, {{.fltclk=0,.invinp=0,.iewo=0,.opendrn=0,.invout=0,.plevel=0,.pen=0,.pwoa=0,.funsel=0,.iodis=0}}},</t>
  </si>
  <si>
    <t>{VOR_PORTA, 8,en_iocfg_dir__input, {{.fltclk=0,.invinp=0,.iewo=0,.opendrn=0,.invout=0,.plevel=0,.pen=0,.pwoa=0,.funsel=0,.iodis=0}}},</t>
  </si>
  <si>
    <t>{VOR_PORTG, 7,en_iocfg_dir__input, {{.fltclk=0,.invinp=0,.iewo=0,.opendrn=0,.invout=0,.plevel=0,.pen=0,.pwoa=0,.funsel=0,.iodis=0}}},</t>
  </si>
  <si>
    <t>{VOR_PORTG, 6,en_iocfg_dir__input, {{.fltclk=0,.invinp=0,.iewo=0,.opendrn=0,.invout=0,.plevel=0,.pen=0,.pwoa=0,.funsel=0,.iodis=0}}},</t>
  </si>
  <si>
    <t>{VOR_PORTG, 2,en_iocfg_dir__input, {{.fltclk=0,.invinp=0,.iewo=0,.opendrn=0,.invout=0,.plevel=0,.pen=0,.pwoa=0,.funsel=0,.iodis=0}}},</t>
  </si>
  <si>
    <t>{VOR_PORTF, 9,en_iocfg_dir_dncare, {{.fltclk=0,.invinp=0,.iewo=0,.opendrn=0,.invout=0,.plevel=0,.pen=0,.pwoa=0,.funsel=1,.iodis=0}}},</t>
  </si>
  <si>
    <t>{VOR_PORTF, 8,en_iocfg_dir_dncare, {{.fltclk=0,.invinp=0,.iewo=0,.opendrn=0,.invout=0,.plevel=0,.pen=0,.pwoa=0,.funsel=1,.iodis=0}}},</t>
  </si>
  <si>
    <t>{VOR_PORTF, 7,en_iocfg_dir_dncare, {{.fltclk=0,.invinp=0,.iewo=0,.opendrn=0,.invout=0,.plevel=0,.pen=0,.pwoa=0,.funsel=1,.iodis=0}}},</t>
  </si>
  <si>
    <t>{VOR_PORTF, 6,en_iocfg_dir_dncare, {{.fltclk=0,.invinp=0,.iewo=0,.opendrn=0,.invout=0,.plevel=0,.pen=0,.pwoa=0,.funsel=1,.iodis=0}}},</t>
  </si>
  <si>
    <t>{VOR_PORTF, 5,en_iocfg_dir_dncare, {{.fltclk=0,.invinp=0,.iewo=0,.opendrn=0,.invout=0,.plevel=0,.pen=0,.pwoa=0,.funsel=1,.iodis=0}}},</t>
  </si>
  <si>
    <t>{VOR_PORTF, 4,en_iocfg_dir_dncare, {{.fltclk=0,.invinp=0,.iewo=0,.opendrn=0,.invout=0,.plevel=0,.pen=0,.pwoa=0,.funsel=1,.iodis=0}}},</t>
  </si>
  <si>
    <t>{VOR_PORTF, 3,en_iocfg_dir_dncare, {{.fltclk=0,.invinp=0,.iewo=0,.opendrn=0,.invout=0,.plevel=0,.pen=0,.pwoa=0,.funsel=1,.iodis=0}}},</t>
  </si>
  <si>
    <t>{VOR_PORTF, 2,en_iocfg_dir_dncare, {{.fltclk=0,.invinp=0,.iewo=0,.opendrn=0,.invout=0,.plevel=0,.pen=0,.pwoa=0,.funsel=1,.iodis=0}}},</t>
  </si>
  <si>
    <t>{VOR_PORTB,15,en_iocfg_dir_dncare, {{.fltclk=0,.invinp=0,.iewo=0,.opendrn=0,.invout=0,.plevel=0,.pen=0,.pwoa=0,.funsel=3,.iodis=0}}},</t>
  </si>
  <si>
    <t>{VOR_PORTB,14,en_iocfg_dir_dncare, {{.fltclk=0,.invinp=0,.iewo=0,.opendrn=0,.invout=0,.plevel=0,.pen=0,.pwoa=0,.funsel=3,.iodis=0}}},</t>
  </si>
  <si>
    <t>{VOR_PORTB,13,en_iocfg_dir_dncare, {{.fltclk=0,.invinp=0,.iewo=0,.opendrn=0,.invout=0,.plevel=0,.pen=0,.pwoa=0,.funsel=3,.iodis=0}}},</t>
  </si>
  <si>
    <t>{VOR_PORTB,12,en_iocfg_dir_dncare, {{.fltclk=0,.invinp=0,.iewo=0,.opendrn=0,.invout=0,.plevel=0,.pen=0,.pwoa=0,.funsel=3,.iodis=0}}},</t>
  </si>
  <si>
    <t>{VOR_PORTA, 7,en_iocfg_dir_dncare, {{.fltclk=0,.invinp=0,.iewo=0,.opendrn=0,.invout=0,.plevel=0,.pen=0,.pwoa=0,.funsel=2,.iodis=0}}},</t>
  </si>
  <si>
    <t>{VOR_PORTA, 6,en_iocfg_dir_dncare, {{.fltclk=0,.invinp=0,.iewo=0,.opendrn=0,.invout=0,.plevel=0,.pen=0,.pwoa=0,.funsel=2,.iodis=0}}},</t>
  </si>
  <si>
    <t>{VOR_PORTA, 5,en_iocfg_dir_dncare, {{.fltclk=0,.invinp=0,.iewo=0,.opendrn=0,.invout=0,.plevel=0,.pen=0,.pwoa=0,.funsel=2,.iodis=0}}},</t>
  </si>
  <si>
    <t>{VOR_PORTA, 4,en_iocfg_dir_dncare, {{.fltclk=0,.invinp=0,.iewo=0,.opendrn=0,.invout=0,.plevel=0,.pen=0,.pwoa=0,.funsel=2,.iodis=0}}},</t>
  </si>
  <si>
    <t>{VOR_PORTA, 3,en_iocfg_dir__input, {{.fltclk=0,.invinp=0,.iewo=0,.opendrn=0,.invout=0,.plevel=0,.pen=0,.pwoa=0,.funsel=0,.iodis=0}}},</t>
  </si>
  <si>
    <t>{VOR_PORTA, 2,en_iocfg_dir__input, {{.fltclk=0,.invinp=0,.iewo=0,.opendrn=0,.invout=0,.plevel=0,.pen=0,.pwoa=0,.funsel=0,.iodis=0}}},</t>
  </si>
  <si>
    <t>{VOR_PORTG, 5,en_iocfg_dir_output, {{.fltclk=0,.invinp=0,.iewo=0,.opendrn=0,.invout=0,.plevel=0,.pen=0,.pwoa=0,.funsel=0,.iodis=0}}},</t>
  </si>
  <si>
    <t>{VOR_PORTG, 4,en_iocfg_dir_dncare, {{.fltclk=0,.invinp=0,.iewo=0,.opendrn=0,.invout=0,.plevel=0,.pen=0,.pwoa=0,.funsel=1,.iodis=0}}},</t>
  </si>
  <si>
    <t>{VOR_PORTG, 3,en_iocfg_dir__input, {{.fltclk=0,.invinp=0,.iewo=0,.opendrn=0,.invout=0,.plevel=0,.pen=0,.pwoa=0,.funsel=0,.iodis=0}}},</t>
  </si>
  <si>
    <t>{VOR_PORTG, 1,en_iocfg_dir_dncare, {{.fltclk=0,.invinp=0,.iewo=0,.opendrn=0,.invout=0,.plevel=0,.pen=0,.pwoa=0,.funsel=1,.iodis=0}}},</t>
  </si>
  <si>
    <t>{VOR_PORTG, 0,en_iocfg_dir_dncare, {{.fltclk=0,.invinp=0,.iewo=0,.opendrn=0,.invout=0,.plevel=0,.pen=0,.pwoa=0,.funsel=1,.iodis=0}}},</t>
  </si>
  <si>
    <t>/***************************************************************************************
 * @file     board.c
 * @version  V1.0
 * @date     15 November 2019
 *
 * @note
 * VORAGO Technologies
 *
 * @note
 * Copyright (c) 2013-2019 VORAGO Technologies.
 *
 * @par
 * BY DOWNLOADING, INSTALLING OR USING THIS SOFTWARE, YOU AGREE TO BE BOUND BY
 * ALL THE TERMS AND CONDITIONS OF THE VORAGO TECHNOLOGIES END USER LICENSE AGREEMENT.
 * THIS SOFTWARE IS PROVIDED "AS IS". NO WARRANTIES, WHETHER EXPRESS, IMPLIED
 * OR STATUTORY, INCLUDING, BUT NOT LIMITED TO, IMPLIED WARRANTIES OF MERCHANTABILITY
 * AND FITNESS FOR A PARTICULAR PURPOSE APPLY TO THIS SOFTWARE. VORAGO TECHNOLOGIES
 * SHALL NOT, IN ANY CIRCUMSTANCES, BE LIABLE FOR SPECIAL, INCIDENTAL, OR CONSEQUENTIAL
 * DAMAGES, FOR ANY REASON WHATSOEVER.
 *
 ****************************************************************************************/
/*****************************************************************************/ 
/* Include files                                                             */ 
/*****************************************************************************/
#include "board.h"
/*****************************************************************************/ 
/* Local pre-processor symbols/macros ('#define')                            */ 
/*****************************************************************************/
/*****************************************************************************/ 
/* Global variable definitions (declared in header file with 'extern')       */ 
/*****************************************************************************/
// Generated with excel pin configurator
const stc_iocfg_pin_cfg_t ioPinCfgArr[] = 
{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</si>
</sst>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 applyAlignment="1">
      <alignment horizontal="center"/>
    </xf>
    <xf numFmtId="0" fontId="1" fillId="0" borderId="0" xfId="0" applyFont="1"/>
    <xf numFmtId="0" fontId="0" fillId="2" borderId="1" xfId="0" applyFill="1" applyBorder="1"/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wrapText="1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1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161926</xdr:colOff>
          <xdr:row>2</xdr:row>
          <xdr:rowOff>142876</xdr:rowOff>
        </xdr:from>
        <xdr:to>
          <xdr:col>21</xdr:col>
          <xdr:colOff>1319892</xdr:colOff>
          <xdr:row>2</xdr:row>
          <xdr:rowOff>571500</xdr:rowOff>
        </xdr:to>
        <xdr:sp macro="" textlink="">
          <xdr:nvSpPr>
            <xdr:cNvPr id="3073" name="Button 1" descr="Generate .c fi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.c file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8A1B6-3ED0-864A-B177-F476E9952D04}">
  <sheetPr codeName="Sheet3"/>
  <dimension ref="A1:AL183"/>
  <sheetViews>
    <sheetView tabSelected="1" topLeftCell="A3" zoomScale="70" zoomScaleNormal="70" workbookViewId="0">
      <pane ySplit="1" topLeftCell="A4" activePane="bottomLeft" state="frozen"/>
      <selection activeCell="A3" sqref="A3"/>
      <selection pane="bottomLeft" activeCell="D159" sqref="D159"/>
    </sheetView>
  </sheetViews>
  <sheetFormatPr defaultColWidth="8.625" defaultRowHeight="15.75" x14ac:dyDescent="0.25"/>
  <cols>
    <col min="1" max="1" width="8.625" style="1"/>
    <col min="2" max="2" width="17.625" style="7" customWidth="1"/>
    <col min="3" max="3" width="8.625" style="1"/>
    <col min="4" max="4" width="12" style="1" customWidth="1"/>
    <col min="5" max="5" width="16.125" style="1" customWidth="1"/>
    <col min="6" max="6" width="10.375" style="1" customWidth="1"/>
    <col min="7" max="7" width="17.625" style="1" customWidth="1"/>
    <col min="8" max="8" width="10.375" style="1" customWidth="1"/>
    <col min="9" max="9" width="17.625" style="1" customWidth="1"/>
    <col min="10" max="10" width="10.375" style="1" customWidth="1"/>
    <col min="11" max="11" width="13.375" style="7" bestFit="1" customWidth="1"/>
    <col min="12" max="21" width="8.875" style="1" customWidth="1"/>
    <col min="22" max="22" width="19.375" style="3" customWidth="1"/>
    <col min="23" max="23" width="12.875" style="3" customWidth="1"/>
    <col min="24" max="26" width="11.5" style="3" customWidth="1"/>
    <col min="27" max="27" width="12.875" style="3" customWidth="1"/>
    <col min="28" max="31" width="11.5" style="3" customWidth="1"/>
    <col min="32" max="32" width="8.625" style="3"/>
    <col min="33" max="33" width="11.5" style="3" customWidth="1"/>
    <col min="34" max="34" width="8.625" style="3"/>
    <col min="36" max="36" width="17.625" customWidth="1"/>
    <col min="37" max="37" width="5.875" style="14" customWidth="1"/>
    <col min="38" max="38" width="120.5" customWidth="1"/>
  </cols>
  <sheetData>
    <row r="1" spans="1:38" hidden="1" x14ac:dyDescent="0.25"/>
    <row r="2" spans="1:38" hidden="1" x14ac:dyDescent="0.25"/>
    <row r="3" spans="1:38" ht="53.25" customHeight="1" x14ac:dyDescent="0.25">
      <c r="A3" s="8" t="s">
        <v>127</v>
      </c>
      <c r="B3" s="9" t="s">
        <v>126</v>
      </c>
      <c r="C3" s="1" t="s">
        <v>329</v>
      </c>
      <c r="D3" s="6" t="s">
        <v>328</v>
      </c>
      <c r="E3" s="8" t="s">
        <v>128</v>
      </c>
      <c r="F3" s="1" t="s">
        <v>296</v>
      </c>
      <c r="G3" s="8" t="s">
        <v>129</v>
      </c>
      <c r="H3" s="1" t="s">
        <v>297</v>
      </c>
      <c r="I3" s="8" t="s">
        <v>130</v>
      </c>
      <c r="J3" s="1" t="s">
        <v>298</v>
      </c>
      <c r="K3" s="6" t="s">
        <v>331</v>
      </c>
      <c r="L3" s="6" t="s">
        <v>300</v>
      </c>
      <c r="M3" s="6" t="s">
        <v>299</v>
      </c>
      <c r="N3" s="6" t="s">
        <v>305</v>
      </c>
      <c r="O3" s="6" t="s">
        <v>306</v>
      </c>
      <c r="P3" s="6" t="s">
        <v>307</v>
      </c>
      <c r="Q3" s="6" t="s">
        <v>308</v>
      </c>
      <c r="R3" s="6" t="s">
        <v>309</v>
      </c>
      <c r="S3" s="6" t="s">
        <v>302</v>
      </c>
      <c r="T3" s="6" t="s">
        <v>303</v>
      </c>
      <c r="U3" s="6" t="s">
        <v>304</v>
      </c>
      <c r="V3" s="5"/>
      <c r="W3" s="4" t="s">
        <v>300</v>
      </c>
      <c r="X3" s="4" t="s">
        <v>299</v>
      </c>
      <c r="Y3" s="4" t="s">
        <v>312</v>
      </c>
      <c r="Z3" s="4" t="s">
        <v>301</v>
      </c>
      <c r="AA3" s="4" t="s">
        <v>313</v>
      </c>
      <c r="AB3" s="4" t="s">
        <v>314</v>
      </c>
      <c r="AC3" s="4" t="s">
        <v>315</v>
      </c>
      <c r="AD3" s="4" t="s">
        <v>316</v>
      </c>
      <c r="AE3" s="4" t="s">
        <v>317</v>
      </c>
      <c r="AF3" s="4" t="s">
        <v>311</v>
      </c>
      <c r="AG3" s="4" t="s">
        <v>318</v>
      </c>
      <c r="AJ3" s="2" t="s">
        <v>126</v>
      </c>
      <c r="AK3" s="15" t="s">
        <v>327</v>
      </c>
      <c r="AL3" t="s">
        <v>310</v>
      </c>
    </row>
    <row r="4" spans="1:38" x14ac:dyDescent="0.25">
      <c r="A4" s="10">
        <v>1</v>
      </c>
      <c r="B4" s="7" t="s">
        <v>125</v>
      </c>
      <c r="C4" s="1" t="s">
        <v>319</v>
      </c>
      <c r="D4" s="10"/>
      <c r="E4" s="1" t="s">
        <v>132</v>
      </c>
      <c r="G4" s="1" t="s">
        <v>27</v>
      </c>
      <c r="I4" s="1" t="s">
        <v>133</v>
      </c>
      <c r="K4" s="7" t="str">
        <f t="shared" ref="K4:K67" si="0">IF(COUNTIF(C4:J4,"y")&gt;1,"error",IF(COUNTIF(C4:J4,"y")&lt;1,"Not Assigned","ok"))</f>
        <v>ok</v>
      </c>
      <c r="V4" s="3" t="str">
        <f>IF(OR(F4="Y",H4="Y",J4="Y"),"en_iocfg_dir_dncare",IF(D4="Out","en_iocfg_dir_output","en_iocfg_dir__input"))</f>
        <v>en_iocfg_dir__input</v>
      </c>
      <c r="W4" s="3" t="str">
        <f>IF(L4=0,".flttype =0",IF(L4=1,".flttype =1",IF(L4=2,".flttype =2",IF(L4=3,".flttype =3",IF(L4=4,".flttype =4",IF(L4=5,".flttype =5"))))))</f>
        <v>.flttype =0</v>
      </c>
      <c r="X4" s="3" t="str">
        <f>IF(M4=0,".fltclk=0",IF(M4=1,".fltclk=1",IF(M4=2,".fltclk=2",IF(M4=3,".fltclk=3",IF(M4=4,".fltclk=4",IF(M4=5,".fltclk=5",".fltclk=6"))))))</f>
        <v>.fltclk=0</v>
      </c>
      <c r="Y4" s="3" t="str">
        <f>IF(N4="Y",".invinp=1",".invinp=0")</f>
        <v>.invinp=0</v>
      </c>
      <c r="Z4" s="3" t="str">
        <f>IF(O4="Y",".iewo=1",".iewo=0")</f>
        <v>.iewo=0</v>
      </c>
      <c r="AA4" s="3" t="str">
        <f>IF(P4="Y",".opendrn=1",".opendrn=0")</f>
        <v>.opendrn=0</v>
      </c>
      <c r="AB4" s="3" t="str">
        <f>IF(Q4="Y",".invout=1",".invout=0")</f>
        <v>.invout=0</v>
      </c>
      <c r="AC4" s="3" t="str">
        <f>IF(R4="H",".plevel=1",".plevel=0")</f>
        <v>.plevel=0</v>
      </c>
      <c r="AD4" s="3" t="str">
        <f>IF(S4="Y",".pen=1",".pen=0")</f>
        <v>.pen=0</v>
      </c>
      <c r="AE4" s="3" t="str">
        <f>IF(T4="Y",".pwoa=1",".pwoa=0")</f>
        <v>.pwoa=0</v>
      </c>
      <c r="AF4" s="3" t="str">
        <f>IF(C4="Y",".funsel=0",IF(F4="Y",".funsel=1",IF(H4="Y",".funsel=2",IF(J4="Y",".funsel=3",".funsel=0")) ) )</f>
        <v>.funsel=0</v>
      </c>
      <c r="AG4" s="3" t="str">
        <f>IF(U4="Y",".iodis=1",".iodis=0")</f>
        <v>.iodis=0</v>
      </c>
      <c r="AJ4" t="s">
        <v>320</v>
      </c>
      <c r="AK4" s="14">
        <v>15</v>
      </c>
      <c r="AL4" t="str">
        <f>_xlfn.CONCAT("{VOR_",AJ4,",",AK4,",", V4,", {{",X4,",",Y4,",",Z4,",",AA4,",",AB4,",",AC4,",",AD4,",",AE4,",",AF4,",",AG4,"}}},")</f>
        <v>{VOR_PORTF,15,en_iocfg_dir__input, {{.fltclk=0,.invinp=0,.iewo=0,.opendrn=0,.invout=0,.plevel=0,.pen=0,.pwoa=0,.funsel=0,.iodis=0}}},</v>
      </c>
    </row>
    <row r="5" spans="1:38" x14ac:dyDescent="0.25">
      <c r="A5" s="10">
        <v>2</v>
      </c>
      <c r="B5" s="7" t="s">
        <v>124</v>
      </c>
      <c r="C5" s="1" t="s">
        <v>319</v>
      </c>
      <c r="D5" s="10"/>
      <c r="E5" s="1" t="s">
        <v>134</v>
      </c>
      <c r="G5" s="1" t="s">
        <v>26</v>
      </c>
      <c r="I5" s="1" t="s">
        <v>133</v>
      </c>
      <c r="K5" s="7" t="str">
        <f t="shared" si="0"/>
        <v>ok</v>
      </c>
      <c r="V5" s="3" t="str">
        <f>IF(OR(F5="Y",H5="Y",J5="Y"),"en_iocfg_dir_dncare",IF(D5="Out","en_iocfg_dir_output","en_iocfg_dir__input"))</f>
        <v>en_iocfg_dir__input</v>
      </c>
      <c r="W5" s="3" t="str">
        <f t="shared" ref="W5:W8" si="1">IF(L5=0,".flttype =0",IF(L5=1,".flttype =1",IF(L5=2,".flttype =2",IF(L5=3,".flttype =3",IF(L5=4,".flttype =4",IF(L5=5,".flttype =5"))))))</f>
        <v>.flttype =0</v>
      </c>
      <c r="X5" s="3" t="str">
        <f t="shared" ref="X5:X8" si="2">IF(M5=0,".fltclk=0",IF(M5=1,".fltclk=1",IF(M5=2,".fltclk=2",IF(M5=3,".fltclk=3",IF(M5=4,".fltclk=4",IF(M5=5,".fltclk=5",".fltclk=6"))))))</f>
        <v>.fltclk=0</v>
      </c>
      <c r="Y5" s="3" t="str">
        <f t="shared" ref="Y5:Y8" si="3">IF(N5="Y",".invinp=1",".invinp=0")</f>
        <v>.invinp=0</v>
      </c>
      <c r="Z5" s="3" t="str">
        <f t="shared" ref="Z5:Z8" si="4">IF(O5="Y",".iewo=1",".iewo=0")</f>
        <v>.iewo=0</v>
      </c>
      <c r="AA5" s="3" t="str">
        <f t="shared" ref="AA5:AA8" si="5">IF(P5="Y",".opendrn=1",".opendrn=0")</f>
        <v>.opendrn=0</v>
      </c>
      <c r="AB5" s="3" t="str">
        <f t="shared" ref="AB5:AB8" si="6">IF(Q5="Y",".invout=1",".invout=0")</f>
        <v>.invout=0</v>
      </c>
      <c r="AC5" s="3" t="str">
        <f t="shared" ref="AC5:AC8" si="7">IF(R5="H",".plevel=1",".plevel=0")</f>
        <v>.plevel=0</v>
      </c>
      <c r="AD5" s="3" t="str">
        <f t="shared" ref="AD5:AD8" si="8">IF(S5="Y",".pen=1",".pen=0")</f>
        <v>.pen=0</v>
      </c>
      <c r="AE5" s="3" t="str">
        <f t="shared" ref="AE5:AE68" si="9">IF(T5="Y",".pwoa=1",".pwoa=0")</f>
        <v>.pwoa=0</v>
      </c>
      <c r="AF5" s="3" t="str">
        <f t="shared" ref="AF5:AF8" si="10">IF(C5="Y",".funsel=0",IF(F5="Y",".funsel=1",IF(H5="Y",".funsel=2",IF(J5="Y",".funsel=3",".funsel=0")) ) )</f>
        <v>.funsel=0</v>
      </c>
      <c r="AG5" s="3" t="str">
        <f t="shared" ref="AG5:AG8" si="11">IF(U5="Y",".iodis=1",".iodis=0")</f>
        <v>.iodis=0</v>
      </c>
      <c r="AJ5" t="s">
        <v>320</v>
      </c>
      <c r="AK5" s="14">
        <v>14</v>
      </c>
      <c r="AL5" t="str">
        <f t="shared" ref="AL5:AL8" si="12">_xlfn.CONCAT("{VOR_",AJ5,",",AK5,",", V5,", {{",X5,",",Y5,",",Z5,",",AA5,",",AB5,",",AC5,",",AD5,",",AE5,",",AF5,",",AG5,"}}},")</f>
        <v>{VOR_PORTF,14,en_iocfg_dir__input, {{.fltclk=0,.invinp=0,.iewo=0,.opendrn=0,.invout=0,.plevel=0,.pen=0,.pwoa=0,.funsel=0,.iodis=0}}},</v>
      </c>
    </row>
    <row r="6" spans="1:38" x14ac:dyDescent="0.25">
      <c r="A6" s="10">
        <v>3</v>
      </c>
      <c r="B6" s="7" t="s">
        <v>123</v>
      </c>
      <c r="C6" s="1" t="s">
        <v>319</v>
      </c>
      <c r="D6" s="10"/>
      <c r="E6" s="1" t="s">
        <v>3</v>
      </c>
      <c r="G6" s="1" t="s">
        <v>25</v>
      </c>
      <c r="I6" s="1" t="s">
        <v>133</v>
      </c>
      <c r="K6" s="7" t="str">
        <f t="shared" si="0"/>
        <v>ok</v>
      </c>
      <c r="V6" s="3" t="str">
        <f t="shared" ref="V6:V69" si="13">IF(OR(F6="Y",H6="Y",J6="Y"),"en_iocfg_dir_dncare",IF(D6="Out","en_iocfg_dir_output","en_iocfg_dir__input"))</f>
        <v>en_iocfg_dir__input</v>
      </c>
      <c r="W6" s="3" t="str">
        <f t="shared" si="1"/>
        <v>.flttype =0</v>
      </c>
      <c r="X6" s="3" t="str">
        <f t="shared" si="2"/>
        <v>.fltclk=0</v>
      </c>
      <c r="Y6" s="3" t="str">
        <f t="shared" si="3"/>
        <v>.invinp=0</v>
      </c>
      <c r="Z6" s="3" t="str">
        <f t="shared" si="4"/>
        <v>.iewo=0</v>
      </c>
      <c r="AA6" s="3" t="str">
        <f t="shared" si="5"/>
        <v>.opendrn=0</v>
      </c>
      <c r="AB6" s="3" t="str">
        <f t="shared" si="6"/>
        <v>.invout=0</v>
      </c>
      <c r="AC6" s="3" t="str">
        <f t="shared" si="7"/>
        <v>.plevel=0</v>
      </c>
      <c r="AD6" s="3" t="str">
        <f t="shared" si="8"/>
        <v>.pen=0</v>
      </c>
      <c r="AE6" s="3" t="str">
        <f t="shared" si="9"/>
        <v>.pwoa=0</v>
      </c>
      <c r="AF6" s="3" t="str">
        <f t="shared" si="10"/>
        <v>.funsel=0</v>
      </c>
      <c r="AG6" s="3" t="str">
        <f t="shared" si="11"/>
        <v>.iodis=0</v>
      </c>
      <c r="AJ6" t="s">
        <v>320</v>
      </c>
      <c r="AK6" s="14">
        <v>13</v>
      </c>
      <c r="AL6" t="str">
        <f t="shared" si="12"/>
        <v>{VOR_PORTF,13,en_iocfg_dir__input, {{.fltclk=0,.invinp=0,.iewo=0,.opendrn=0,.invout=0,.plevel=0,.pen=0,.pwoa=0,.funsel=0,.iodis=0}}},</v>
      </c>
    </row>
    <row r="7" spans="1:38" x14ac:dyDescent="0.25">
      <c r="A7" s="10">
        <v>4</v>
      </c>
      <c r="B7" s="7" t="s">
        <v>122</v>
      </c>
      <c r="C7" s="1" t="s">
        <v>319</v>
      </c>
      <c r="D7" s="10"/>
      <c r="E7" s="11" t="s">
        <v>2</v>
      </c>
      <c r="G7" s="1" t="s">
        <v>133</v>
      </c>
      <c r="I7" s="11" t="s">
        <v>18</v>
      </c>
      <c r="K7" s="7" t="str">
        <f t="shared" si="0"/>
        <v>ok</v>
      </c>
      <c r="V7" s="3" t="str">
        <f t="shared" si="13"/>
        <v>en_iocfg_dir__input</v>
      </c>
      <c r="W7" s="3" t="str">
        <f t="shared" si="1"/>
        <v>.flttype =0</v>
      </c>
      <c r="X7" s="3" t="str">
        <f t="shared" si="2"/>
        <v>.fltclk=0</v>
      </c>
      <c r="Y7" s="3" t="str">
        <f t="shared" si="3"/>
        <v>.invinp=0</v>
      </c>
      <c r="Z7" s="3" t="str">
        <f t="shared" si="4"/>
        <v>.iewo=0</v>
      </c>
      <c r="AA7" s="3" t="str">
        <f t="shared" si="5"/>
        <v>.opendrn=0</v>
      </c>
      <c r="AB7" s="3" t="str">
        <f t="shared" si="6"/>
        <v>.invout=0</v>
      </c>
      <c r="AC7" s="3" t="str">
        <f t="shared" si="7"/>
        <v>.plevel=0</v>
      </c>
      <c r="AD7" s="3" t="str">
        <f t="shared" si="8"/>
        <v>.pen=0</v>
      </c>
      <c r="AE7" s="3" t="str">
        <f t="shared" si="9"/>
        <v>.pwoa=0</v>
      </c>
      <c r="AF7" s="3" t="str">
        <f t="shared" si="10"/>
        <v>.funsel=0</v>
      </c>
      <c r="AG7" s="3" t="str">
        <f t="shared" si="11"/>
        <v>.iodis=0</v>
      </c>
      <c r="AJ7" t="s">
        <v>320</v>
      </c>
      <c r="AK7" s="14">
        <v>12</v>
      </c>
      <c r="AL7" t="str">
        <f t="shared" si="12"/>
        <v>{VOR_PORTF,12,en_iocfg_dir__input, {{.fltclk=0,.invinp=0,.iewo=0,.opendrn=0,.invout=0,.plevel=0,.pen=0,.pwoa=0,.funsel=0,.iodis=0}}},</v>
      </c>
    </row>
    <row r="8" spans="1:38" x14ac:dyDescent="0.25">
      <c r="A8" s="10">
        <v>5</v>
      </c>
      <c r="B8" s="7" t="s">
        <v>121</v>
      </c>
      <c r="C8" s="1" t="s">
        <v>319</v>
      </c>
      <c r="D8" s="10"/>
      <c r="E8" s="1" t="s">
        <v>135</v>
      </c>
      <c r="G8" s="1" t="s">
        <v>133</v>
      </c>
      <c r="I8" s="1" t="s">
        <v>17</v>
      </c>
      <c r="K8" s="7" t="str">
        <f t="shared" si="0"/>
        <v>ok</v>
      </c>
      <c r="V8" s="3" t="str">
        <f t="shared" si="13"/>
        <v>en_iocfg_dir__input</v>
      </c>
      <c r="W8" s="3" t="str">
        <f t="shared" si="1"/>
        <v>.flttype =0</v>
      </c>
      <c r="X8" s="3" t="str">
        <f t="shared" si="2"/>
        <v>.fltclk=0</v>
      </c>
      <c r="Y8" s="3" t="str">
        <f t="shared" si="3"/>
        <v>.invinp=0</v>
      </c>
      <c r="Z8" s="3" t="str">
        <f t="shared" si="4"/>
        <v>.iewo=0</v>
      </c>
      <c r="AA8" s="3" t="str">
        <f t="shared" si="5"/>
        <v>.opendrn=0</v>
      </c>
      <c r="AB8" s="3" t="str">
        <f t="shared" si="6"/>
        <v>.invout=0</v>
      </c>
      <c r="AC8" s="3" t="str">
        <f t="shared" si="7"/>
        <v>.plevel=0</v>
      </c>
      <c r="AD8" s="3" t="str">
        <f t="shared" si="8"/>
        <v>.pen=0</v>
      </c>
      <c r="AE8" s="3" t="str">
        <f t="shared" si="9"/>
        <v>.pwoa=0</v>
      </c>
      <c r="AF8" s="3" t="str">
        <f t="shared" si="10"/>
        <v>.funsel=0</v>
      </c>
      <c r="AG8" s="3" t="str">
        <f t="shared" si="11"/>
        <v>.iodis=0</v>
      </c>
      <c r="AJ8" t="s">
        <v>320</v>
      </c>
      <c r="AK8" s="14">
        <v>11</v>
      </c>
      <c r="AL8" t="str">
        <f t="shared" si="12"/>
        <v>{VOR_PORTF,11,en_iocfg_dir__input, {{.fltclk=0,.invinp=0,.iewo=0,.opendrn=0,.invout=0,.plevel=0,.pen=0,.pwoa=0,.funsel=0,.iodis=0}}},</v>
      </c>
    </row>
    <row r="9" spans="1:38" x14ac:dyDescent="0.25">
      <c r="A9" s="10">
        <v>6</v>
      </c>
      <c r="B9" s="7" t="s">
        <v>136</v>
      </c>
      <c r="D9" s="10"/>
      <c r="E9" s="1" t="s">
        <v>137</v>
      </c>
      <c r="G9" s="1" t="s">
        <v>137</v>
      </c>
      <c r="I9" s="1" t="s">
        <v>137</v>
      </c>
      <c r="AJ9" t="s">
        <v>136</v>
      </c>
    </row>
    <row r="10" spans="1:38" x14ac:dyDescent="0.25">
      <c r="A10" s="10">
        <v>7</v>
      </c>
      <c r="B10" s="7" t="s">
        <v>138</v>
      </c>
      <c r="D10" s="10"/>
      <c r="E10" s="1" t="s">
        <v>137</v>
      </c>
      <c r="G10" s="1" t="s">
        <v>137</v>
      </c>
      <c r="I10" s="1" t="s">
        <v>137</v>
      </c>
      <c r="AJ10" t="s">
        <v>138</v>
      </c>
    </row>
    <row r="11" spans="1:38" x14ac:dyDescent="0.25">
      <c r="A11" s="10">
        <v>8</v>
      </c>
      <c r="B11" s="7" t="s">
        <v>139</v>
      </c>
      <c r="D11" s="10"/>
      <c r="E11" s="1" t="s">
        <v>137</v>
      </c>
      <c r="G11" s="1" t="s">
        <v>137</v>
      </c>
      <c r="I11" s="1" t="s">
        <v>137</v>
      </c>
      <c r="AJ11" t="s">
        <v>139</v>
      </c>
    </row>
    <row r="12" spans="1:38" x14ac:dyDescent="0.25">
      <c r="A12" s="10">
        <v>9</v>
      </c>
      <c r="B12" s="7" t="s">
        <v>140</v>
      </c>
      <c r="D12" s="10"/>
      <c r="E12" s="1" t="s">
        <v>137</v>
      </c>
      <c r="G12" s="1" t="s">
        <v>137</v>
      </c>
      <c r="I12" s="1" t="s">
        <v>137</v>
      </c>
      <c r="AJ12" t="s">
        <v>140</v>
      </c>
    </row>
    <row r="13" spans="1:38" x14ac:dyDescent="0.25">
      <c r="A13" s="10">
        <v>10</v>
      </c>
      <c r="B13" s="7" t="s">
        <v>141</v>
      </c>
      <c r="D13" s="10"/>
      <c r="E13" s="1" t="s">
        <v>137</v>
      </c>
      <c r="G13" s="1" t="s">
        <v>137</v>
      </c>
      <c r="I13" s="1" t="s">
        <v>137</v>
      </c>
      <c r="AJ13" t="s">
        <v>141</v>
      </c>
    </row>
    <row r="14" spans="1:38" x14ac:dyDescent="0.25">
      <c r="A14" s="10">
        <v>11</v>
      </c>
      <c r="B14" s="7" t="s">
        <v>142</v>
      </c>
      <c r="D14" s="10"/>
      <c r="E14" s="1" t="s">
        <v>137</v>
      </c>
      <c r="G14" s="1" t="s">
        <v>137</v>
      </c>
      <c r="I14" s="1" t="s">
        <v>137</v>
      </c>
      <c r="AJ14" t="s">
        <v>142</v>
      </c>
    </row>
    <row r="15" spans="1:38" x14ac:dyDescent="0.25">
      <c r="A15" s="10">
        <v>12</v>
      </c>
      <c r="B15" s="7" t="s">
        <v>143</v>
      </c>
      <c r="D15" s="10"/>
      <c r="E15" s="1" t="s">
        <v>137</v>
      </c>
      <c r="G15" s="1" t="s">
        <v>137</v>
      </c>
      <c r="I15" s="1" t="s">
        <v>137</v>
      </c>
      <c r="AJ15" t="s">
        <v>143</v>
      </c>
    </row>
    <row r="16" spans="1:38" x14ac:dyDescent="0.25">
      <c r="A16" s="10">
        <v>13</v>
      </c>
      <c r="B16" s="7" t="s">
        <v>144</v>
      </c>
      <c r="D16" s="10"/>
      <c r="E16" s="1" t="s">
        <v>137</v>
      </c>
      <c r="G16" s="1" t="s">
        <v>137</v>
      </c>
      <c r="I16" s="1" t="s">
        <v>137</v>
      </c>
      <c r="AJ16" t="s">
        <v>144</v>
      </c>
    </row>
    <row r="17" spans="1:38" x14ac:dyDescent="0.25">
      <c r="A17" s="10">
        <v>13</v>
      </c>
      <c r="B17" s="7" t="s">
        <v>131</v>
      </c>
      <c r="D17" s="10"/>
      <c r="E17" s="1" t="s">
        <v>137</v>
      </c>
      <c r="G17" s="1" t="s">
        <v>137</v>
      </c>
      <c r="I17" s="1" t="s">
        <v>137</v>
      </c>
      <c r="AJ17" t="s">
        <v>131</v>
      </c>
      <c r="AK17" s="14" t="s">
        <v>131</v>
      </c>
    </row>
    <row r="18" spans="1:38" x14ac:dyDescent="0.25">
      <c r="A18" s="10">
        <v>14</v>
      </c>
      <c r="B18" s="7" t="s">
        <v>120</v>
      </c>
      <c r="C18" s="1" t="s">
        <v>319</v>
      </c>
      <c r="D18" s="10"/>
      <c r="E18" s="1" t="s">
        <v>145</v>
      </c>
      <c r="G18" s="1" t="s">
        <v>133</v>
      </c>
      <c r="I18" s="1" t="s">
        <v>16</v>
      </c>
      <c r="K18" s="7" t="str">
        <f t="shared" si="0"/>
        <v>ok</v>
      </c>
      <c r="V18" s="3" t="str">
        <f t="shared" si="13"/>
        <v>en_iocfg_dir__input</v>
      </c>
      <c r="W18" s="3" t="str">
        <f t="shared" ref="W18:W25" si="14">IF(L18=0,".flttype =0",IF(L18=1,".flttype =1",IF(L18=2,".flttype =2",IF(L18=3,".flttype =3",IF(L18=4,".flttype =4",IF(L18=5,".flttype =5"))))))</f>
        <v>.flttype =0</v>
      </c>
      <c r="X18" s="3" t="str">
        <f t="shared" ref="X18:X25" si="15">IF(M18=0,".fltclk=0",IF(M18=1,".fltclk=1",IF(M18=2,".fltclk=2",IF(M18=3,".fltclk=3",IF(M18=4,".fltclk=4",IF(M18=5,".fltclk=5",".fltclk=6"))))))</f>
        <v>.fltclk=0</v>
      </c>
      <c r="Y18" s="3" t="str">
        <f t="shared" ref="Y18:Y25" si="16">IF(N18="Y",".invinp=1",".invinp=0")</f>
        <v>.invinp=0</v>
      </c>
      <c r="Z18" s="3" t="str">
        <f t="shared" ref="Z18:Z25" si="17">IF(O18="Y",".iewo=1",".iewo=0")</f>
        <v>.iewo=0</v>
      </c>
      <c r="AA18" s="3" t="str">
        <f t="shared" ref="AA18:AA25" si="18">IF(P18="Y",".opendrn=1",".opendrn=0")</f>
        <v>.opendrn=0</v>
      </c>
      <c r="AB18" s="3" t="str">
        <f t="shared" ref="AB18:AB25" si="19">IF(Q18="Y",".invout=1",".invout=0")</f>
        <v>.invout=0</v>
      </c>
      <c r="AC18" s="3" t="str">
        <f t="shared" ref="AC18:AC25" si="20">IF(R18="H",".plevel=1",".plevel=0")</f>
        <v>.plevel=0</v>
      </c>
      <c r="AD18" s="3" t="str">
        <f t="shared" ref="AD18:AD25" si="21">IF(S18="Y",".pen=1",".pen=0")</f>
        <v>.pen=0</v>
      </c>
      <c r="AE18" s="3" t="str">
        <f t="shared" si="9"/>
        <v>.pwoa=0</v>
      </c>
      <c r="AF18" s="3" t="str">
        <f t="shared" ref="AF18:AF25" si="22">IF(C18="Y",".funsel=0",IF(F18="Y",".funsel=1",IF(H18="Y",".funsel=2",IF(J18="Y",".funsel=3",".funsel=0")) ) )</f>
        <v>.funsel=0</v>
      </c>
      <c r="AG18" s="3" t="str">
        <f t="shared" ref="AG18:AG25" si="23">IF(U18="Y",".iodis=1",".iodis=0")</f>
        <v>.iodis=0</v>
      </c>
      <c r="AJ18" t="s">
        <v>320</v>
      </c>
      <c r="AK18" s="14">
        <v>10</v>
      </c>
      <c r="AL18" t="str">
        <f t="shared" ref="AL18:AL25" si="24">_xlfn.CONCAT("{VOR_",AJ18,",",AK18,",", V18,", {{",X18,",",Y18,",",Z18,",",AA18,",",AB18,",",AC18,",",AD18,",",AE18,",",AF18,",",AG18,"}}},")</f>
        <v>{VOR_PORTF,10,en_iocfg_dir__input, {{.fltclk=0,.invinp=0,.iewo=0,.opendrn=0,.invout=0,.plevel=0,.pen=0,.pwoa=0,.funsel=0,.iodis=0}}},</v>
      </c>
    </row>
    <row r="19" spans="1:38" x14ac:dyDescent="0.25">
      <c r="A19" s="10">
        <v>15</v>
      </c>
      <c r="B19" s="7" t="s">
        <v>119</v>
      </c>
      <c r="D19" s="10"/>
      <c r="E19" s="1" t="s">
        <v>5</v>
      </c>
      <c r="F19" s="1" t="s">
        <v>319</v>
      </c>
      <c r="G19" s="1" t="s">
        <v>133</v>
      </c>
      <c r="I19" s="1" t="s">
        <v>15</v>
      </c>
      <c r="K19" s="7" t="str">
        <f t="shared" si="0"/>
        <v>ok</v>
      </c>
      <c r="V19" s="3" t="str">
        <f t="shared" si="13"/>
        <v>en_iocfg_dir_dncare</v>
      </c>
      <c r="W19" s="3" t="str">
        <f t="shared" si="14"/>
        <v>.flttype =0</v>
      </c>
      <c r="X19" s="3" t="str">
        <f t="shared" si="15"/>
        <v>.fltclk=0</v>
      </c>
      <c r="Y19" s="3" t="str">
        <f t="shared" si="16"/>
        <v>.invinp=0</v>
      </c>
      <c r="Z19" s="3" t="str">
        <f t="shared" si="17"/>
        <v>.iewo=0</v>
      </c>
      <c r="AA19" s="3" t="str">
        <f t="shared" si="18"/>
        <v>.opendrn=0</v>
      </c>
      <c r="AB19" s="3" t="str">
        <f t="shared" si="19"/>
        <v>.invout=0</v>
      </c>
      <c r="AC19" s="3" t="str">
        <f t="shared" si="20"/>
        <v>.plevel=0</v>
      </c>
      <c r="AD19" s="3" t="str">
        <f t="shared" si="21"/>
        <v>.pen=0</v>
      </c>
      <c r="AE19" s="3" t="str">
        <f t="shared" si="9"/>
        <v>.pwoa=0</v>
      </c>
      <c r="AF19" s="3" t="str">
        <f t="shared" si="22"/>
        <v>.funsel=1</v>
      </c>
      <c r="AG19" s="3" t="str">
        <f t="shared" si="23"/>
        <v>.iodis=0</v>
      </c>
      <c r="AJ19" t="s">
        <v>320</v>
      </c>
      <c r="AK19" s="14" t="s">
        <v>332</v>
      </c>
      <c r="AL19" t="str">
        <f t="shared" si="24"/>
        <v>{VOR_PORTF, 9,en_iocfg_dir_dncare, {{.fltclk=0,.invinp=0,.iewo=0,.opendrn=0,.invout=0,.plevel=0,.pen=0,.pwoa=0,.funsel=1,.iodis=0}}},</v>
      </c>
    </row>
    <row r="20" spans="1:38" x14ac:dyDescent="0.25">
      <c r="A20" s="10">
        <v>16</v>
      </c>
      <c r="B20" s="7" t="s">
        <v>118</v>
      </c>
      <c r="D20" s="10"/>
      <c r="E20" s="1" t="s">
        <v>4</v>
      </c>
      <c r="F20" s="1" t="s">
        <v>319</v>
      </c>
      <c r="G20" s="1" t="s">
        <v>133</v>
      </c>
      <c r="I20" s="1" t="s">
        <v>14</v>
      </c>
      <c r="K20" s="7" t="str">
        <f t="shared" si="0"/>
        <v>ok</v>
      </c>
      <c r="V20" s="3" t="str">
        <f t="shared" si="13"/>
        <v>en_iocfg_dir_dncare</v>
      </c>
      <c r="W20" s="3" t="str">
        <f t="shared" si="14"/>
        <v>.flttype =0</v>
      </c>
      <c r="X20" s="3" t="str">
        <f t="shared" si="15"/>
        <v>.fltclk=0</v>
      </c>
      <c r="Y20" s="3" t="str">
        <f t="shared" si="16"/>
        <v>.invinp=0</v>
      </c>
      <c r="Z20" s="3" t="str">
        <f t="shared" si="17"/>
        <v>.iewo=0</v>
      </c>
      <c r="AA20" s="3" t="str">
        <f t="shared" si="18"/>
        <v>.opendrn=0</v>
      </c>
      <c r="AB20" s="3" t="str">
        <f t="shared" si="19"/>
        <v>.invout=0</v>
      </c>
      <c r="AC20" s="3" t="str">
        <f t="shared" si="20"/>
        <v>.plevel=0</v>
      </c>
      <c r="AD20" s="3" t="str">
        <f t="shared" si="21"/>
        <v>.pen=0</v>
      </c>
      <c r="AE20" s="3" t="str">
        <f t="shared" si="9"/>
        <v>.pwoa=0</v>
      </c>
      <c r="AF20" s="3" t="str">
        <f t="shared" si="22"/>
        <v>.funsel=1</v>
      </c>
      <c r="AG20" s="3" t="str">
        <f t="shared" si="23"/>
        <v>.iodis=0</v>
      </c>
      <c r="AJ20" t="s">
        <v>320</v>
      </c>
      <c r="AK20" s="14" t="s">
        <v>333</v>
      </c>
      <c r="AL20" t="str">
        <f t="shared" si="24"/>
        <v>{VOR_PORTF, 8,en_iocfg_dir_dncare, {{.fltclk=0,.invinp=0,.iewo=0,.opendrn=0,.invout=0,.plevel=0,.pen=0,.pwoa=0,.funsel=1,.iodis=0}}},</v>
      </c>
    </row>
    <row r="21" spans="1:38" x14ac:dyDescent="0.25">
      <c r="A21" s="10">
        <v>17</v>
      </c>
      <c r="B21" s="7" t="s">
        <v>117</v>
      </c>
      <c r="D21" s="10"/>
      <c r="E21" s="1" t="s">
        <v>146</v>
      </c>
      <c r="F21" s="1" t="s">
        <v>319</v>
      </c>
      <c r="G21" s="1" t="s">
        <v>147</v>
      </c>
      <c r="I21" s="1" t="s">
        <v>13</v>
      </c>
      <c r="K21" s="7" t="str">
        <f t="shared" si="0"/>
        <v>ok</v>
      </c>
      <c r="V21" s="3" t="str">
        <f t="shared" si="13"/>
        <v>en_iocfg_dir_dncare</v>
      </c>
      <c r="W21" s="3" t="str">
        <f t="shared" si="14"/>
        <v>.flttype =0</v>
      </c>
      <c r="X21" s="3" t="str">
        <f t="shared" si="15"/>
        <v>.fltclk=0</v>
      </c>
      <c r="Y21" s="3" t="str">
        <f t="shared" si="16"/>
        <v>.invinp=0</v>
      </c>
      <c r="Z21" s="3" t="str">
        <f t="shared" si="17"/>
        <v>.iewo=0</v>
      </c>
      <c r="AA21" s="3" t="str">
        <f t="shared" si="18"/>
        <v>.opendrn=0</v>
      </c>
      <c r="AB21" s="3" t="str">
        <f t="shared" si="19"/>
        <v>.invout=0</v>
      </c>
      <c r="AC21" s="3" t="str">
        <f t="shared" si="20"/>
        <v>.plevel=0</v>
      </c>
      <c r="AD21" s="3" t="str">
        <f t="shared" si="21"/>
        <v>.pen=0</v>
      </c>
      <c r="AE21" s="3" t="str">
        <f t="shared" si="9"/>
        <v>.pwoa=0</v>
      </c>
      <c r="AF21" s="3" t="str">
        <f t="shared" si="22"/>
        <v>.funsel=1</v>
      </c>
      <c r="AG21" s="3" t="str">
        <f t="shared" si="23"/>
        <v>.iodis=0</v>
      </c>
      <c r="AJ21" t="s">
        <v>320</v>
      </c>
      <c r="AK21" s="14" t="s">
        <v>334</v>
      </c>
      <c r="AL21" t="str">
        <f t="shared" si="24"/>
        <v>{VOR_PORTF, 7,en_iocfg_dir_dncare, {{.fltclk=0,.invinp=0,.iewo=0,.opendrn=0,.invout=0,.plevel=0,.pen=0,.pwoa=0,.funsel=1,.iodis=0}}},</v>
      </c>
    </row>
    <row r="22" spans="1:38" x14ac:dyDescent="0.25">
      <c r="A22" s="10">
        <v>18</v>
      </c>
      <c r="B22" s="7" t="s">
        <v>116</v>
      </c>
      <c r="D22" s="10"/>
      <c r="E22" s="1" t="s">
        <v>148</v>
      </c>
      <c r="F22" s="1" t="s">
        <v>319</v>
      </c>
      <c r="G22" s="1" t="s">
        <v>149</v>
      </c>
      <c r="I22" s="1" t="s">
        <v>12</v>
      </c>
      <c r="K22" s="7" t="str">
        <f t="shared" si="0"/>
        <v>ok</v>
      </c>
      <c r="V22" s="3" t="str">
        <f t="shared" si="13"/>
        <v>en_iocfg_dir_dncare</v>
      </c>
      <c r="W22" s="3" t="str">
        <f t="shared" si="14"/>
        <v>.flttype =0</v>
      </c>
      <c r="X22" s="3" t="str">
        <f t="shared" si="15"/>
        <v>.fltclk=0</v>
      </c>
      <c r="Y22" s="3" t="str">
        <f t="shared" si="16"/>
        <v>.invinp=0</v>
      </c>
      <c r="Z22" s="3" t="str">
        <f t="shared" si="17"/>
        <v>.iewo=0</v>
      </c>
      <c r="AA22" s="3" t="str">
        <f t="shared" si="18"/>
        <v>.opendrn=0</v>
      </c>
      <c r="AB22" s="3" t="str">
        <f t="shared" si="19"/>
        <v>.invout=0</v>
      </c>
      <c r="AC22" s="3" t="str">
        <f t="shared" si="20"/>
        <v>.plevel=0</v>
      </c>
      <c r="AD22" s="3" t="str">
        <f t="shared" si="21"/>
        <v>.pen=0</v>
      </c>
      <c r="AE22" s="3" t="str">
        <f t="shared" si="9"/>
        <v>.pwoa=0</v>
      </c>
      <c r="AF22" s="3" t="str">
        <f t="shared" si="22"/>
        <v>.funsel=1</v>
      </c>
      <c r="AG22" s="3" t="str">
        <f t="shared" si="23"/>
        <v>.iodis=0</v>
      </c>
      <c r="AJ22" t="s">
        <v>320</v>
      </c>
      <c r="AK22" s="14" t="s">
        <v>335</v>
      </c>
      <c r="AL22" t="str">
        <f t="shared" si="24"/>
        <v>{VOR_PORTF, 6,en_iocfg_dir_dncare, {{.fltclk=0,.invinp=0,.iewo=0,.opendrn=0,.invout=0,.plevel=0,.pen=0,.pwoa=0,.funsel=1,.iodis=0}}},</v>
      </c>
    </row>
    <row r="23" spans="1:38" x14ac:dyDescent="0.25">
      <c r="A23" s="10">
        <v>19</v>
      </c>
      <c r="B23" s="7" t="s">
        <v>115</v>
      </c>
      <c r="D23" s="10"/>
      <c r="E23" s="1" t="s">
        <v>150</v>
      </c>
      <c r="F23" s="1" t="s">
        <v>319</v>
      </c>
      <c r="G23" s="1" t="s">
        <v>151</v>
      </c>
      <c r="I23" s="1" t="s">
        <v>11</v>
      </c>
      <c r="K23" s="7" t="str">
        <f t="shared" si="0"/>
        <v>ok</v>
      </c>
      <c r="V23" s="3" t="str">
        <f t="shared" si="13"/>
        <v>en_iocfg_dir_dncare</v>
      </c>
      <c r="W23" s="3" t="str">
        <f t="shared" si="14"/>
        <v>.flttype =0</v>
      </c>
      <c r="X23" s="3" t="str">
        <f t="shared" si="15"/>
        <v>.fltclk=0</v>
      </c>
      <c r="Y23" s="3" t="str">
        <f t="shared" si="16"/>
        <v>.invinp=0</v>
      </c>
      <c r="Z23" s="3" t="str">
        <f t="shared" si="17"/>
        <v>.iewo=0</v>
      </c>
      <c r="AA23" s="3" t="str">
        <f t="shared" si="18"/>
        <v>.opendrn=0</v>
      </c>
      <c r="AB23" s="3" t="str">
        <f t="shared" si="19"/>
        <v>.invout=0</v>
      </c>
      <c r="AC23" s="3" t="str">
        <f t="shared" si="20"/>
        <v>.plevel=0</v>
      </c>
      <c r="AD23" s="3" t="str">
        <f t="shared" si="21"/>
        <v>.pen=0</v>
      </c>
      <c r="AE23" s="3" t="str">
        <f t="shared" si="9"/>
        <v>.pwoa=0</v>
      </c>
      <c r="AF23" s="3" t="str">
        <f t="shared" si="22"/>
        <v>.funsel=1</v>
      </c>
      <c r="AG23" s="3" t="str">
        <f t="shared" si="23"/>
        <v>.iodis=0</v>
      </c>
      <c r="AJ23" t="s">
        <v>320</v>
      </c>
      <c r="AK23" s="14" t="s">
        <v>336</v>
      </c>
      <c r="AL23" t="str">
        <f t="shared" si="24"/>
        <v>{VOR_PORTF, 5,en_iocfg_dir_dncare, {{.fltclk=0,.invinp=0,.iewo=0,.opendrn=0,.invout=0,.plevel=0,.pen=0,.pwoa=0,.funsel=1,.iodis=0}}},</v>
      </c>
    </row>
    <row r="24" spans="1:38" x14ac:dyDescent="0.25">
      <c r="A24" s="10">
        <v>20</v>
      </c>
      <c r="B24" s="7" t="s">
        <v>114</v>
      </c>
      <c r="D24" s="10"/>
      <c r="E24" s="1" t="s">
        <v>152</v>
      </c>
      <c r="F24" s="1" t="s">
        <v>319</v>
      </c>
      <c r="G24" s="1" t="s">
        <v>153</v>
      </c>
      <c r="I24" s="1" t="s">
        <v>10</v>
      </c>
      <c r="K24" s="7" t="str">
        <f t="shared" si="0"/>
        <v>ok</v>
      </c>
      <c r="V24" s="3" t="str">
        <f t="shared" si="13"/>
        <v>en_iocfg_dir_dncare</v>
      </c>
      <c r="W24" s="3" t="str">
        <f t="shared" si="14"/>
        <v>.flttype =0</v>
      </c>
      <c r="X24" s="3" t="str">
        <f t="shared" si="15"/>
        <v>.fltclk=0</v>
      </c>
      <c r="Y24" s="3" t="str">
        <f t="shared" si="16"/>
        <v>.invinp=0</v>
      </c>
      <c r="Z24" s="3" t="str">
        <f t="shared" si="17"/>
        <v>.iewo=0</v>
      </c>
      <c r="AA24" s="3" t="str">
        <f t="shared" si="18"/>
        <v>.opendrn=0</v>
      </c>
      <c r="AB24" s="3" t="str">
        <f t="shared" si="19"/>
        <v>.invout=0</v>
      </c>
      <c r="AC24" s="3" t="str">
        <f t="shared" si="20"/>
        <v>.plevel=0</v>
      </c>
      <c r="AD24" s="3" t="str">
        <f t="shared" si="21"/>
        <v>.pen=0</v>
      </c>
      <c r="AE24" s="3" t="str">
        <f t="shared" si="9"/>
        <v>.pwoa=0</v>
      </c>
      <c r="AF24" s="3" t="str">
        <f t="shared" si="22"/>
        <v>.funsel=1</v>
      </c>
      <c r="AG24" s="3" t="str">
        <f t="shared" si="23"/>
        <v>.iodis=0</v>
      </c>
      <c r="AJ24" t="s">
        <v>320</v>
      </c>
      <c r="AK24" s="14" t="s">
        <v>337</v>
      </c>
      <c r="AL24" t="str">
        <f t="shared" si="24"/>
        <v>{VOR_PORTF, 4,en_iocfg_dir_dncare, {{.fltclk=0,.invinp=0,.iewo=0,.opendrn=0,.invout=0,.plevel=0,.pen=0,.pwoa=0,.funsel=1,.iodis=0}}},</v>
      </c>
    </row>
    <row r="25" spans="1:38" x14ac:dyDescent="0.25">
      <c r="A25" s="10">
        <v>21</v>
      </c>
      <c r="B25" s="7" t="s">
        <v>113</v>
      </c>
      <c r="D25" s="10"/>
      <c r="E25" s="1" t="s">
        <v>154</v>
      </c>
      <c r="F25" s="1" t="s">
        <v>319</v>
      </c>
      <c r="G25" s="1" t="s">
        <v>155</v>
      </c>
      <c r="I25" s="1" t="s">
        <v>9</v>
      </c>
      <c r="K25" s="7" t="str">
        <f t="shared" si="0"/>
        <v>ok</v>
      </c>
      <c r="V25" s="3" t="str">
        <f t="shared" si="13"/>
        <v>en_iocfg_dir_dncare</v>
      </c>
      <c r="W25" s="3" t="str">
        <f t="shared" si="14"/>
        <v>.flttype =0</v>
      </c>
      <c r="X25" s="3" t="str">
        <f t="shared" si="15"/>
        <v>.fltclk=0</v>
      </c>
      <c r="Y25" s="3" t="str">
        <f t="shared" si="16"/>
        <v>.invinp=0</v>
      </c>
      <c r="Z25" s="3" t="str">
        <f t="shared" si="17"/>
        <v>.iewo=0</v>
      </c>
      <c r="AA25" s="3" t="str">
        <f t="shared" si="18"/>
        <v>.opendrn=0</v>
      </c>
      <c r="AB25" s="3" t="str">
        <f t="shared" si="19"/>
        <v>.invout=0</v>
      </c>
      <c r="AC25" s="3" t="str">
        <f t="shared" si="20"/>
        <v>.plevel=0</v>
      </c>
      <c r="AD25" s="3" t="str">
        <f t="shared" si="21"/>
        <v>.pen=0</v>
      </c>
      <c r="AE25" s="3" t="str">
        <f t="shared" si="9"/>
        <v>.pwoa=0</v>
      </c>
      <c r="AF25" s="3" t="str">
        <f t="shared" si="22"/>
        <v>.funsel=1</v>
      </c>
      <c r="AG25" s="3" t="str">
        <f t="shared" si="23"/>
        <v>.iodis=0</v>
      </c>
      <c r="AJ25" t="s">
        <v>320</v>
      </c>
      <c r="AK25" s="14" t="s">
        <v>338</v>
      </c>
      <c r="AL25" t="str">
        <f t="shared" si="24"/>
        <v>{VOR_PORTF, 3,en_iocfg_dir_dncare, {{.fltclk=0,.invinp=0,.iewo=0,.opendrn=0,.invout=0,.plevel=0,.pen=0,.pwoa=0,.funsel=1,.iodis=0}}},</v>
      </c>
    </row>
    <row r="26" spans="1:38" x14ac:dyDescent="0.25">
      <c r="A26" s="10">
        <v>22</v>
      </c>
      <c r="B26" s="7" t="s">
        <v>156</v>
      </c>
      <c r="D26" s="10"/>
      <c r="E26" s="1" t="s">
        <v>137</v>
      </c>
      <c r="G26" s="1" t="s">
        <v>137</v>
      </c>
      <c r="I26" s="1" t="s">
        <v>137</v>
      </c>
      <c r="AJ26" t="s">
        <v>156</v>
      </c>
    </row>
    <row r="27" spans="1:38" x14ac:dyDescent="0.25">
      <c r="A27" s="10">
        <v>23</v>
      </c>
      <c r="B27" s="7" t="s">
        <v>157</v>
      </c>
      <c r="D27" s="10"/>
      <c r="E27" s="1" t="s">
        <v>137</v>
      </c>
      <c r="G27" s="1" t="s">
        <v>137</v>
      </c>
      <c r="I27" s="1" t="s">
        <v>137</v>
      </c>
      <c r="AJ27" t="s">
        <v>157</v>
      </c>
    </row>
    <row r="28" spans="1:38" x14ac:dyDescent="0.25">
      <c r="A28" s="10">
        <v>24</v>
      </c>
      <c r="B28" s="7" t="s">
        <v>158</v>
      </c>
      <c r="D28" s="10"/>
      <c r="E28" s="1" t="s">
        <v>137</v>
      </c>
      <c r="G28" s="1" t="s">
        <v>137</v>
      </c>
      <c r="I28" s="1" t="s">
        <v>137</v>
      </c>
      <c r="AJ28" t="s">
        <v>158</v>
      </c>
    </row>
    <row r="29" spans="1:38" x14ac:dyDescent="0.25">
      <c r="A29" s="10">
        <v>25</v>
      </c>
      <c r="B29" s="7" t="s">
        <v>159</v>
      </c>
      <c r="D29" s="10"/>
      <c r="E29" s="1" t="s">
        <v>137</v>
      </c>
      <c r="G29" s="1" t="s">
        <v>137</v>
      </c>
      <c r="I29" s="1" t="s">
        <v>137</v>
      </c>
      <c r="AJ29" t="s">
        <v>159</v>
      </c>
    </row>
    <row r="30" spans="1:38" x14ac:dyDescent="0.25">
      <c r="A30" s="10">
        <v>26</v>
      </c>
      <c r="B30" s="7" t="s">
        <v>112</v>
      </c>
      <c r="D30" s="10"/>
      <c r="E30" s="1" t="s">
        <v>160</v>
      </c>
      <c r="F30" s="1" t="s">
        <v>319</v>
      </c>
      <c r="G30" s="1" t="s">
        <v>161</v>
      </c>
      <c r="I30" s="1" t="s">
        <v>8</v>
      </c>
      <c r="K30" s="7" t="str">
        <f t="shared" si="0"/>
        <v>ok</v>
      </c>
      <c r="V30" s="3" t="str">
        <f t="shared" si="13"/>
        <v>en_iocfg_dir_dncare</v>
      </c>
      <c r="W30" s="3" t="str">
        <f t="shared" ref="W30:W35" si="25">IF(L30=0,".flttype =0",IF(L30=1,".flttype =1",IF(L30=2,".flttype =2",IF(L30=3,".flttype =3",IF(L30=4,".flttype =4",IF(L30=5,".flttype =5"))))))</f>
        <v>.flttype =0</v>
      </c>
      <c r="X30" s="3" t="str">
        <f t="shared" ref="X30:X35" si="26">IF(M30=0,".fltclk=0",IF(M30=1,".fltclk=1",IF(M30=2,".fltclk=2",IF(M30=3,".fltclk=3",IF(M30=4,".fltclk=4",IF(M30=5,".fltclk=5",".fltclk=6"))))))</f>
        <v>.fltclk=0</v>
      </c>
      <c r="Y30" s="3" t="str">
        <f t="shared" ref="Y30:Y35" si="27">IF(N30="Y",".invinp=1",".invinp=0")</f>
        <v>.invinp=0</v>
      </c>
      <c r="Z30" s="3" t="str">
        <f t="shared" ref="Z30:Z35" si="28">IF(O30="Y",".iewo=1",".iewo=0")</f>
        <v>.iewo=0</v>
      </c>
      <c r="AA30" s="3" t="str">
        <f t="shared" ref="AA30:AA35" si="29">IF(P30="Y",".opendrn=1",".opendrn=0")</f>
        <v>.opendrn=0</v>
      </c>
      <c r="AB30" s="3" t="str">
        <f t="shared" ref="AB30:AB35" si="30">IF(Q30="Y",".invout=1",".invout=0")</f>
        <v>.invout=0</v>
      </c>
      <c r="AC30" s="3" t="str">
        <f t="shared" ref="AC30:AC35" si="31">IF(R30="H",".plevel=1",".plevel=0")</f>
        <v>.plevel=0</v>
      </c>
      <c r="AD30" s="3" t="str">
        <f t="shared" ref="AD30:AD35" si="32">IF(S30="Y",".pen=1",".pen=0")</f>
        <v>.pen=0</v>
      </c>
      <c r="AE30" s="3" t="str">
        <f t="shared" si="9"/>
        <v>.pwoa=0</v>
      </c>
      <c r="AF30" s="3" t="str">
        <f t="shared" ref="AF30:AF35" si="33">IF(C30="Y",".funsel=0",IF(F30="Y",".funsel=1",IF(H30="Y",".funsel=2",IF(J30="Y",".funsel=3",".funsel=0")) ) )</f>
        <v>.funsel=1</v>
      </c>
      <c r="AG30" s="3" t="str">
        <f t="shared" ref="AG30:AG35" si="34">IF(U30="Y",".iodis=1",".iodis=0")</f>
        <v>.iodis=0</v>
      </c>
      <c r="AJ30" t="s">
        <v>320</v>
      </c>
      <c r="AK30" s="14" t="s">
        <v>339</v>
      </c>
      <c r="AL30" t="str">
        <f t="shared" ref="AL30:AL35" si="35">_xlfn.CONCAT("{VOR_",AJ30,",",AK30,",", V30,", {{",X30,",",Y30,",",Z30,",",AA30,",",AB30,",",AC30,",",AD30,",",AE30,",",AF30,",",AG30,"}}},")</f>
        <v>{VOR_PORTF, 2,en_iocfg_dir_dncare, {{.fltclk=0,.invinp=0,.iewo=0,.opendrn=0,.invout=0,.plevel=0,.pen=0,.pwoa=0,.funsel=1,.iodis=0}}},</v>
      </c>
    </row>
    <row r="31" spans="1:38" x14ac:dyDescent="0.25">
      <c r="A31" s="10">
        <v>27</v>
      </c>
      <c r="B31" s="7" t="s">
        <v>111</v>
      </c>
      <c r="C31" s="1" t="s">
        <v>319</v>
      </c>
      <c r="D31" s="10"/>
      <c r="E31" s="1" t="s">
        <v>162</v>
      </c>
      <c r="G31" s="1" t="s">
        <v>163</v>
      </c>
      <c r="I31" s="1" t="s">
        <v>7</v>
      </c>
      <c r="K31" s="7" t="str">
        <f t="shared" si="0"/>
        <v>ok</v>
      </c>
      <c r="V31" s="3" t="str">
        <f t="shared" si="13"/>
        <v>en_iocfg_dir__input</v>
      </c>
      <c r="W31" s="3" t="str">
        <f t="shared" si="25"/>
        <v>.flttype =0</v>
      </c>
      <c r="X31" s="3" t="str">
        <f t="shared" si="26"/>
        <v>.fltclk=0</v>
      </c>
      <c r="Y31" s="3" t="str">
        <f t="shared" si="27"/>
        <v>.invinp=0</v>
      </c>
      <c r="Z31" s="3" t="str">
        <f t="shared" si="28"/>
        <v>.iewo=0</v>
      </c>
      <c r="AA31" s="3" t="str">
        <f t="shared" si="29"/>
        <v>.opendrn=0</v>
      </c>
      <c r="AB31" s="3" t="str">
        <f t="shared" si="30"/>
        <v>.invout=0</v>
      </c>
      <c r="AC31" s="3" t="str">
        <f t="shared" si="31"/>
        <v>.plevel=0</v>
      </c>
      <c r="AD31" s="3" t="str">
        <f t="shared" si="32"/>
        <v>.pen=0</v>
      </c>
      <c r="AE31" s="3" t="str">
        <f t="shared" si="9"/>
        <v>.pwoa=0</v>
      </c>
      <c r="AF31" s="3" t="str">
        <f t="shared" si="33"/>
        <v>.funsel=0</v>
      </c>
      <c r="AG31" s="3" t="str">
        <f t="shared" si="34"/>
        <v>.iodis=0</v>
      </c>
      <c r="AJ31" t="s">
        <v>320</v>
      </c>
      <c r="AK31" s="14" t="s">
        <v>340</v>
      </c>
      <c r="AL31" t="str">
        <f t="shared" si="35"/>
        <v>{VOR_PORTF, 1,en_iocfg_dir__input, {{.fltclk=0,.invinp=0,.iewo=0,.opendrn=0,.invout=0,.plevel=0,.pen=0,.pwoa=0,.funsel=0,.iodis=0}}},</v>
      </c>
    </row>
    <row r="32" spans="1:38" x14ac:dyDescent="0.25">
      <c r="A32" s="10">
        <v>28</v>
      </c>
      <c r="B32" s="7" t="s">
        <v>110</v>
      </c>
      <c r="C32" s="1" t="s">
        <v>319</v>
      </c>
      <c r="D32" s="10"/>
      <c r="E32" s="1" t="s">
        <v>164</v>
      </c>
      <c r="G32" s="1" t="s">
        <v>165</v>
      </c>
      <c r="I32" s="1" t="s">
        <v>6</v>
      </c>
      <c r="K32" s="7" t="str">
        <f t="shared" si="0"/>
        <v>ok</v>
      </c>
      <c r="V32" s="3" t="str">
        <f t="shared" si="13"/>
        <v>en_iocfg_dir__input</v>
      </c>
      <c r="W32" s="3" t="str">
        <f t="shared" si="25"/>
        <v>.flttype =0</v>
      </c>
      <c r="X32" s="3" t="str">
        <f t="shared" si="26"/>
        <v>.fltclk=0</v>
      </c>
      <c r="Y32" s="3" t="str">
        <f t="shared" si="27"/>
        <v>.invinp=0</v>
      </c>
      <c r="Z32" s="3" t="str">
        <f t="shared" si="28"/>
        <v>.iewo=0</v>
      </c>
      <c r="AA32" s="3" t="str">
        <f t="shared" si="29"/>
        <v>.opendrn=0</v>
      </c>
      <c r="AB32" s="3" t="str">
        <f t="shared" si="30"/>
        <v>.invout=0</v>
      </c>
      <c r="AC32" s="3" t="str">
        <f t="shared" si="31"/>
        <v>.plevel=0</v>
      </c>
      <c r="AD32" s="3" t="str">
        <f t="shared" si="32"/>
        <v>.pen=0</v>
      </c>
      <c r="AE32" s="3" t="str">
        <f t="shared" si="9"/>
        <v>.pwoa=0</v>
      </c>
      <c r="AF32" s="3" t="str">
        <f t="shared" si="33"/>
        <v>.funsel=0</v>
      </c>
      <c r="AG32" s="3" t="str">
        <f t="shared" si="34"/>
        <v>.iodis=0</v>
      </c>
      <c r="AJ32" t="s">
        <v>320</v>
      </c>
      <c r="AK32" s="14" t="s">
        <v>341</v>
      </c>
      <c r="AL32" t="str">
        <f t="shared" si="35"/>
        <v>{VOR_PORTF, 0,en_iocfg_dir__input, {{.fltclk=0,.invinp=0,.iewo=0,.opendrn=0,.invout=0,.plevel=0,.pen=0,.pwoa=0,.funsel=0,.iodis=0}}},</v>
      </c>
    </row>
    <row r="33" spans="1:38" x14ac:dyDescent="0.25">
      <c r="A33" s="10">
        <v>29</v>
      </c>
      <c r="B33" s="7" t="s">
        <v>109</v>
      </c>
      <c r="C33" s="1" t="s">
        <v>319</v>
      </c>
      <c r="D33" s="10"/>
      <c r="E33" s="1" t="s">
        <v>166</v>
      </c>
      <c r="G33" s="1" t="s">
        <v>150</v>
      </c>
      <c r="I33" s="1" t="s">
        <v>29</v>
      </c>
      <c r="K33" s="7" t="str">
        <f t="shared" si="0"/>
        <v>ok</v>
      </c>
      <c r="V33" s="3" t="str">
        <f t="shared" si="13"/>
        <v>en_iocfg_dir__input</v>
      </c>
      <c r="W33" s="3" t="str">
        <f t="shared" si="25"/>
        <v>.flttype =0</v>
      </c>
      <c r="X33" s="3" t="str">
        <f t="shared" si="26"/>
        <v>.fltclk=0</v>
      </c>
      <c r="Y33" s="3" t="str">
        <f t="shared" si="27"/>
        <v>.invinp=0</v>
      </c>
      <c r="Z33" s="3" t="str">
        <f t="shared" si="28"/>
        <v>.iewo=0</v>
      </c>
      <c r="AA33" s="3" t="str">
        <f t="shared" si="29"/>
        <v>.opendrn=0</v>
      </c>
      <c r="AB33" s="3" t="str">
        <f t="shared" si="30"/>
        <v>.invout=0</v>
      </c>
      <c r="AC33" s="3" t="str">
        <f t="shared" si="31"/>
        <v>.plevel=0</v>
      </c>
      <c r="AD33" s="3" t="str">
        <f t="shared" si="32"/>
        <v>.pen=0</v>
      </c>
      <c r="AE33" s="3" t="str">
        <f t="shared" si="9"/>
        <v>.pwoa=0</v>
      </c>
      <c r="AF33" s="3" t="str">
        <f t="shared" si="33"/>
        <v>.funsel=0</v>
      </c>
      <c r="AG33" s="3" t="str">
        <f t="shared" si="34"/>
        <v>.iodis=0</v>
      </c>
      <c r="AJ33" t="s">
        <v>321</v>
      </c>
      <c r="AK33" s="14">
        <v>15</v>
      </c>
      <c r="AL33" t="str">
        <f t="shared" si="35"/>
        <v>{VOR_PORTE,15,en_iocfg_dir__input, {{.fltclk=0,.invinp=0,.iewo=0,.opendrn=0,.invout=0,.plevel=0,.pen=0,.pwoa=0,.funsel=0,.iodis=0}}},</v>
      </c>
    </row>
    <row r="34" spans="1:38" x14ac:dyDescent="0.25">
      <c r="A34" s="10">
        <v>30</v>
      </c>
      <c r="B34" s="7" t="s">
        <v>108</v>
      </c>
      <c r="C34" s="1" t="s">
        <v>319</v>
      </c>
      <c r="D34" s="10"/>
      <c r="E34" s="1" t="s">
        <v>167</v>
      </c>
      <c r="G34" s="1" t="s">
        <v>152</v>
      </c>
      <c r="I34" s="1" t="s">
        <v>28</v>
      </c>
      <c r="K34" s="7" t="str">
        <f t="shared" si="0"/>
        <v>ok</v>
      </c>
      <c r="V34" s="3" t="str">
        <f t="shared" si="13"/>
        <v>en_iocfg_dir__input</v>
      </c>
      <c r="W34" s="3" t="str">
        <f t="shared" si="25"/>
        <v>.flttype =0</v>
      </c>
      <c r="X34" s="3" t="str">
        <f t="shared" si="26"/>
        <v>.fltclk=0</v>
      </c>
      <c r="Y34" s="3" t="str">
        <f t="shared" si="27"/>
        <v>.invinp=0</v>
      </c>
      <c r="Z34" s="3" t="str">
        <f t="shared" si="28"/>
        <v>.iewo=0</v>
      </c>
      <c r="AA34" s="3" t="str">
        <f t="shared" si="29"/>
        <v>.opendrn=0</v>
      </c>
      <c r="AB34" s="3" t="str">
        <f t="shared" si="30"/>
        <v>.invout=0</v>
      </c>
      <c r="AC34" s="3" t="str">
        <f t="shared" si="31"/>
        <v>.plevel=0</v>
      </c>
      <c r="AD34" s="3" t="str">
        <f t="shared" si="32"/>
        <v>.pen=0</v>
      </c>
      <c r="AE34" s="3" t="str">
        <f t="shared" si="9"/>
        <v>.pwoa=0</v>
      </c>
      <c r="AF34" s="3" t="str">
        <f t="shared" si="33"/>
        <v>.funsel=0</v>
      </c>
      <c r="AG34" s="3" t="str">
        <f t="shared" si="34"/>
        <v>.iodis=0</v>
      </c>
      <c r="AJ34" t="s">
        <v>321</v>
      </c>
      <c r="AK34" s="14">
        <v>14</v>
      </c>
      <c r="AL34" t="str">
        <f t="shared" si="35"/>
        <v>{VOR_PORTE,14,en_iocfg_dir__input, {{.fltclk=0,.invinp=0,.iewo=0,.opendrn=0,.invout=0,.plevel=0,.pen=0,.pwoa=0,.funsel=0,.iodis=0}}},</v>
      </c>
    </row>
    <row r="35" spans="1:38" x14ac:dyDescent="0.25">
      <c r="A35" s="10">
        <v>31</v>
      </c>
      <c r="B35" s="7" t="s">
        <v>107</v>
      </c>
      <c r="C35" s="1" t="s">
        <v>319</v>
      </c>
      <c r="D35" s="10"/>
      <c r="E35" s="1" t="s">
        <v>168</v>
      </c>
      <c r="G35" s="1" t="s">
        <v>154</v>
      </c>
      <c r="I35" s="1" t="s">
        <v>27</v>
      </c>
      <c r="K35" s="7" t="str">
        <f t="shared" si="0"/>
        <v>ok</v>
      </c>
      <c r="V35" s="3" t="str">
        <f t="shared" si="13"/>
        <v>en_iocfg_dir__input</v>
      </c>
      <c r="W35" s="3" t="str">
        <f t="shared" si="25"/>
        <v>.flttype =0</v>
      </c>
      <c r="X35" s="3" t="str">
        <f t="shared" si="26"/>
        <v>.fltclk=0</v>
      </c>
      <c r="Y35" s="3" t="str">
        <f t="shared" si="27"/>
        <v>.invinp=0</v>
      </c>
      <c r="Z35" s="3" t="str">
        <f t="shared" si="28"/>
        <v>.iewo=0</v>
      </c>
      <c r="AA35" s="3" t="str">
        <f t="shared" si="29"/>
        <v>.opendrn=0</v>
      </c>
      <c r="AB35" s="3" t="str">
        <f t="shared" si="30"/>
        <v>.invout=0</v>
      </c>
      <c r="AC35" s="3" t="str">
        <f t="shared" si="31"/>
        <v>.plevel=0</v>
      </c>
      <c r="AD35" s="3" t="str">
        <f t="shared" si="32"/>
        <v>.pen=0</v>
      </c>
      <c r="AE35" s="3" t="str">
        <f t="shared" si="9"/>
        <v>.pwoa=0</v>
      </c>
      <c r="AF35" s="3" t="str">
        <f t="shared" si="33"/>
        <v>.funsel=0</v>
      </c>
      <c r="AG35" s="3" t="str">
        <f t="shared" si="34"/>
        <v>.iodis=0</v>
      </c>
      <c r="AJ35" t="s">
        <v>321</v>
      </c>
      <c r="AK35" s="14">
        <v>13</v>
      </c>
      <c r="AL35" t="str">
        <f t="shared" si="35"/>
        <v>{VOR_PORTE,13,en_iocfg_dir__input, {{.fltclk=0,.invinp=0,.iewo=0,.opendrn=0,.invout=0,.plevel=0,.pen=0,.pwoa=0,.funsel=0,.iodis=0}}},</v>
      </c>
    </row>
    <row r="36" spans="1:38" x14ac:dyDescent="0.25">
      <c r="A36" s="10">
        <v>32</v>
      </c>
      <c r="B36" s="7" t="s">
        <v>169</v>
      </c>
      <c r="D36" s="10"/>
      <c r="E36" s="1" t="s">
        <v>137</v>
      </c>
      <c r="G36" s="1" t="s">
        <v>137</v>
      </c>
      <c r="I36" s="1" t="s">
        <v>137</v>
      </c>
      <c r="AJ36" t="s">
        <v>169</v>
      </c>
    </row>
    <row r="37" spans="1:38" x14ac:dyDescent="0.25">
      <c r="A37" s="10">
        <v>33</v>
      </c>
      <c r="B37" s="7" t="s">
        <v>142</v>
      </c>
      <c r="D37" s="10"/>
      <c r="E37" s="1" t="s">
        <v>137</v>
      </c>
      <c r="G37" s="1" t="s">
        <v>137</v>
      </c>
      <c r="I37" s="1" t="s">
        <v>137</v>
      </c>
      <c r="AJ37" t="s">
        <v>142</v>
      </c>
    </row>
    <row r="38" spans="1:38" x14ac:dyDescent="0.25">
      <c r="A38" s="10">
        <v>33</v>
      </c>
      <c r="D38" s="10"/>
      <c r="E38" s="1" t="s">
        <v>137</v>
      </c>
      <c r="G38" s="1" t="s">
        <v>137</v>
      </c>
      <c r="I38" s="1" t="s">
        <v>137</v>
      </c>
    </row>
    <row r="39" spans="1:38" x14ac:dyDescent="0.25">
      <c r="A39" s="10">
        <v>34</v>
      </c>
      <c r="B39" s="7" t="s">
        <v>143</v>
      </c>
      <c r="D39" s="10"/>
      <c r="E39" s="1" t="s">
        <v>137</v>
      </c>
      <c r="G39" s="1" t="s">
        <v>137</v>
      </c>
      <c r="I39" s="1" t="s">
        <v>137</v>
      </c>
      <c r="AJ39" t="s">
        <v>143</v>
      </c>
    </row>
    <row r="40" spans="1:38" x14ac:dyDescent="0.25">
      <c r="A40" s="10">
        <v>35</v>
      </c>
      <c r="B40" s="7" t="s">
        <v>170</v>
      </c>
      <c r="D40" s="10"/>
      <c r="E40" s="1" t="s">
        <v>137</v>
      </c>
      <c r="G40" s="1" t="s">
        <v>137</v>
      </c>
      <c r="I40" s="1" t="s">
        <v>137</v>
      </c>
      <c r="AJ40" t="s">
        <v>170</v>
      </c>
    </row>
    <row r="41" spans="1:38" x14ac:dyDescent="0.25">
      <c r="A41" s="10">
        <v>36</v>
      </c>
      <c r="B41" s="7" t="s">
        <v>171</v>
      </c>
      <c r="D41" s="10"/>
      <c r="E41" s="1" t="s">
        <v>137</v>
      </c>
      <c r="G41" s="1" t="s">
        <v>137</v>
      </c>
      <c r="I41" s="1" t="s">
        <v>137</v>
      </c>
      <c r="AJ41" t="s">
        <v>171</v>
      </c>
    </row>
    <row r="42" spans="1:38" x14ac:dyDescent="0.25">
      <c r="A42" s="10">
        <v>37</v>
      </c>
      <c r="B42" s="7" t="s">
        <v>106</v>
      </c>
      <c r="C42" s="1" t="s">
        <v>319</v>
      </c>
      <c r="D42" s="10"/>
      <c r="E42" s="1" t="s">
        <v>172</v>
      </c>
      <c r="G42" s="1" t="s">
        <v>160</v>
      </c>
      <c r="I42" s="1" t="s">
        <v>26</v>
      </c>
      <c r="K42" s="7" t="str">
        <f t="shared" si="0"/>
        <v>ok</v>
      </c>
      <c r="V42" s="3" t="str">
        <f t="shared" si="13"/>
        <v>en_iocfg_dir__input</v>
      </c>
      <c r="W42" s="3" t="str">
        <f t="shared" ref="W42:W59" si="36">IF(L42=0,".flttype =0",IF(L42=1,".flttype =1",IF(L42=2,".flttype =2",IF(L42=3,".flttype =3",IF(L42=4,".flttype =4",IF(L42=5,".flttype =5"))))))</f>
        <v>.flttype =0</v>
      </c>
      <c r="X42" s="3" t="str">
        <f t="shared" ref="X42:X59" si="37">IF(M42=0,".fltclk=0",IF(M42=1,".fltclk=1",IF(M42=2,".fltclk=2",IF(M42=3,".fltclk=3",IF(M42=4,".fltclk=4",IF(M42=5,".fltclk=5",".fltclk=6"))))))</f>
        <v>.fltclk=0</v>
      </c>
      <c r="Y42" s="3" t="str">
        <f t="shared" ref="Y42:Y59" si="38">IF(N42="Y",".invinp=1",".invinp=0")</f>
        <v>.invinp=0</v>
      </c>
      <c r="Z42" s="3" t="str">
        <f t="shared" ref="Z42:Z59" si="39">IF(O42="Y",".iewo=1",".iewo=0")</f>
        <v>.iewo=0</v>
      </c>
      <c r="AA42" s="3" t="str">
        <f t="shared" ref="AA42:AA59" si="40">IF(P42="Y",".opendrn=1",".opendrn=0")</f>
        <v>.opendrn=0</v>
      </c>
      <c r="AB42" s="3" t="str">
        <f t="shared" ref="AB42:AB59" si="41">IF(Q42="Y",".invout=1",".invout=0")</f>
        <v>.invout=0</v>
      </c>
      <c r="AC42" s="3" t="str">
        <f t="shared" ref="AC42:AC59" si="42">IF(R42="H",".plevel=1",".plevel=0")</f>
        <v>.plevel=0</v>
      </c>
      <c r="AD42" s="3" t="str">
        <f t="shared" ref="AD42:AD59" si="43">IF(S42="Y",".pen=1",".pen=0")</f>
        <v>.pen=0</v>
      </c>
      <c r="AE42" s="3" t="str">
        <f t="shared" si="9"/>
        <v>.pwoa=0</v>
      </c>
      <c r="AF42" s="3" t="str">
        <f t="shared" ref="AF42:AF59" si="44">IF(C42="Y",".funsel=0",IF(F42="Y",".funsel=1",IF(H42="Y",".funsel=2",IF(J42="Y",".funsel=3",".funsel=0")) ) )</f>
        <v>.funsel=0</v>
      </c>
      <c r="AG42" s="3" t="str">
        <f t="shared" ref="AG42:AG59" si="45">IF(U42="Y",".iodis=1",".iodis=0")</f>
        <v>.iodis=0</v>
      </c>
      <c r="AJ42" t="s">
        <v>321</v>
      </c>
      <c r="AK42" s="14">
        <v>12</v>
      </c>
      <c r="AL42" t="str">
        <f t="shared" ref="AL42:AL59" si="46">_xlfn.CONCAT("{VOR_",AJ42,",",AK42,",", V42,", {{",X42,",",Y42,",",Z42,",",AA42,",",AB42,",",AC42,",",AD42,",",AE42,",",AF42,",",AG42,"}}},")</f>
        <v>{VOR_PORTE,12,en_iocfg_dir__input, {{.fltclk=0,.invinp=0,.iewo=0,.opendrn=0,.invout=0,.plevel=0,.pen=0,.pwoa=0,.funsel=0,.iodis=0}}},</v>
      </c>
    </row>
    <row r="43" spans="1:38" x14ac:dyDescent="0.25">
      <c r="A43" s="10">
        <v>38</v>
      </c>
      <c r="B43" s="7" t="s">
        <v>105</v>
      </c>
      <c r="C43" s="1" t="s">
        <v>319</v>
      </c>
      <c r="D43" s="10"/>
      <c r="E43" s="1" t="s">
        <v>133</v>
      </c>
      <c r="G43" s="1" t="s">
        <v>173</v>
      </c>
      <c r="I43" s="1" t="s">
        <v>25</v>
      </c>
      <c r="K43" s="7" t="str">
        <f t="shared" si="0"/>
        <v>ok</v>
      </c>
      <c r="V43" s="3" t="str">
        <f t="shared" si="13"/>
        <v>en_iocfg_dir__input</v>
      </c>
      <c r="W43" s="3" t="str">
        <f t="shared" si="36"/>
        <v>.flttype =0</v>
      </c>
      <c r="X43" s="3" t="str">
        <f t="shared" si="37"/>
        <v>.fltclk=0</v>
      </c>
      <c r="Y43" s="3" t="str">
        <f t="shared" si="38"/>
        <v>.invinp=0</v>
      </c>
      <c r="Z43" s="3" t="str">
        <f t="shared" si="39"/>
        <v>.iewo=0</v>
      </c>
      <c r="AA43" s="3" t="str">
        <f t="shared" si="40"/>
        <v>.opendrn=0</v>
      </c>
      <c r="AB43" s="3" t="str">
        <f t="shared" si="41"/>
        <v>.invout=0</v>
      </c>
      <c r="AC43" s="3" t="str">
        <f t="shared" si="42"/>
        <v>.plevel=0</v>
      </c>
      <c r="AD43" s="3" t="str">
        <f t="shared" si="43"/>
        <v>.pen=0</v>
      </c>
      <c r="AE43" s="3" t="str">
        <f t="shared" si="9"/>
        <v>.pwoa=0</v>
      </c>
      <c r="AF43" s="3" t="str">
        <f t="shared" si="44"/>
        <v>.funsel=0</v>
      </c>
      <c r="AG43" s="3" t="str">
        <f t="shared" si="45"/>
        <v>.iodis=0</v>
      </c>
      <c r="AJ43" t="s">
        <v>321</v>
      </c>
      <c r="AK43" s="14">
        <v>11</v>
      </c>
      <c r="AL43" t="str">
        <f t="shared" si="46"/>
        <v>{VOR_PORTE,11,en_iocfg_dir__input, {{.fltclk=0,.invinp=0,.iewo=0,.opendrn=0,.invout=0,.plevel=0,.pen=0,.pwoa=0,.funsel=0,.iodis=0}}},</v>
      </c>
    </row>
    <row r="44" spans="1:38" x14ac:dyDescent="0.25">
      <c r="A44" s="10">
        <v>39</v>
      </c>
      <c r="B44" s="7" t="s">
        <v>104</v>
      </c>
      <c r="C44" s="1" t="s">
        <v>319</v>
      </c>
      <c r="D44" s="10"/>
      <c r="E44" s="1" t="s">
        <v>133</v>
      </c>
      <c r="G44" s="1" t="s">
        <v>174</v>
      </c>
      <c r="I44" s="1" t="s">
        <v>24</v>
      </c>
      <c r="K44" s="7" t="str">
        <f t="shared" si="0"/>
        <v>ok</v>
      </c>
      <c r="V44" s="3" t="str">
        <f t="shared" si="13"/>
        <v>en_iocfg_dir__input</v>
      </c>
      <c r="W44" s="3" t="str">
        <f t="shared" si="36"/>
        <v>.flttype =0</v>
      </c>
      <c r="X44" s="3" t="str">
        <f t="shared" si="37"/>
        <v>.fltclk=0</v>
      </c>
      <c r="Y44" s="3" t="str">
        <f t="shared" si="38"/>
        <v>.invinp=0</v>
      </c>
      <c r="Z44" s="3" t="str">
        <f t="shared" si="39"/>
        <v>.iewo=0</v>
      </c>
      <c r="AA44" s="3" t="str">
        <f t="shared" si="40"/>
        <v>.opendrn=0</v>
      </c>
      <c r="AB44" s="3" t="str">
        <f t="shared" si="41"/>
        <v>.invout=0</v>
      </c>
      <c r="AC44" s="3" t="str">
        <f t="shared" si="42"/>
        <v>.plevel=0</v>
      </c>
      <c r="AD44" s="3" t="str">
        <f t="shared" si="43"/>
        <v>.pen=0</v>
      </c>
      <c r="AE44" s="3" t="str">
        <f t="shared" si="9"/>
        <v>.pwoa=0</v>
      </c>
      <c r="AF44" s="3" t="str">
        <f t="shared" si="44"/>
        <v>.funsel=0</v>
      </c>
      <c r="AG44" s="3" t="str">
        <f t="shared" si="45"/>
        <v>.iodis=0</v>
      </c>
      <c r="AJ44" t="s">
        <v>321</v>
      </c>
      <c r="AK44" s="14">
        <v>10</v>
      </c>
      <c r="AL44" t="str">
        <f t="shared" si="46"/>
        <v>{VOR_PORTE,10,en_iocfg_dir__input, {{.fltclk=0,.invinp=0,.iewo=0,.opendrn=0,.invout=0,.plevel=0,.pen=0,.pwoa=0,.funsel=0,.iodis=0}}},</v>
      </c>
    </row>
    <row r="45" spans="1:38" x14ac:dyDescent="0.25">
      <c r="A45" s="10">
        <v>40</v>
      </c>
      <c r="B45" s="7" t="s">
        <v>103</v>
      </c>
      <c r="C45" s="1" t="s">
        <v>319</v>
      </c>
      <c r="D45" s="10"/>
      <c r="E45" s="1" t="s">
        <v>175</v>
      </c>
      <c r="G45" s="1" t="s">
        <v>176</v>
      </c>
      <c r="I45" s="1" t="s">
        <v>23</v>
      </c>
      <c r="K45" s="7" t="str">
        <f t="shared" si="0"/>
        <v>ok</v>
      </c>
      <c r="V45" s="3" t="str">
        <f t="shared" si="13"/>
        <v>en_iocfg_dir__input</v>
      </c>
      <c r="W45" s="3" t="str">
        <f t="shared" si="36"/>
        <v>.flttype =0</v>
      </c>
      <c r="X45" s="3" t="str">
        <f t="shared" si="37"/>
        <v>.fltclk=0</v>
      </c>
      <c r="Y45" s="3" t="str">
        <f t="shared" si="38"/>
        <v>.invinp=0</v>
      </c>
      <c r="Z45" s="3" t="str">
        <f t="shared" si="39"/>
        <v>.iewo=0</v>
      </c>
      <c r="AA45" s="3" t="str">
        <f t="shared" si="40"/>
        <v>.opendrn=0</v>
      </c>
      <c r="AB45" s="3" t="str">
        <f t="shared" si="41"/>
        <v>.invout=0</v>
      </c>
      <c r="AC45" s="3" t="str">
        <f t="shared" si="42"/>
        <v>.plevel=0</v>
      </c>
      <c r="AD45" s="3" t="str">
        <f t="shared" si="43"/>
        <v>.pen=0</v>
      </c>
      <c r="AE45" s="3" t="str">
        <f t="shared" si="9"/>
        <v>.pwoa=0</v>
      </c>
      <c r="AF45" s="3" t="str">
        <f t="shared" si="44"/>
        <v>.funsel=0</v>
      </c>
      <c r="AG45" s="3" t="str">
        <f t="shared" si="45"/>
        <v>.iodis=0</v>
      </c>
      <c r="AJ45" t="s">
        <v>321</v>
      </c>
      <c r="AK45" s="14" t="s">
        <v>332</v>
      </c>
      <c r="AL45" t="str">
        <f t="shared" si="46"/>
        <v>{VOR_PORTE, 9,en_iocfg_dir__input, {{.fltclk=0,.invinp=0,.iewo=0,.opendrn=0,.invout=0,.plevel=0,.pen=0,.pwoa=0,.funsel=0,.iodis=0}}},</v>
      </c>
    </row>
    <row r="46" spans="1:38" x14ac:dyDescent="0.25">
      <c r="A46" s="10">
        <v>41</v>
      </c>
      <c r="B46" s="7" t="s">
        <v>102</v>
      </c>
      <c r="C46" s="1" t="s">
        <v>319</v>
      </c>
      <c r="D46" s="10"/>
      <c r="E46" s="1" t="s">
        <v>177</v>
      </c>
      <c r="G46" s="1" t="s">
        <v>178</v>
      </c>
      <c r="I46" s="1" t="s">
        <v>22</v>
      </c>
      <c r="K46" s="7" t="str">
        <f t="shared" si="0"/>
        <v>ok</v>
      </c>
      <c r="V46" s="3" t="str">
        <f t="shared" si="13"/>
        <v>en_iocfg_dir__input</v>
      </c>
      <c r="W46" s="3" t="str">
        <f t="shared" si="36"/>
        <v>.flttype =0</v>
      </c>
      <c r="X46" s="3" t="str">
        <f t="shared" si="37"/>
        <v>.fltclk=0</v>
      </c>
      <c r="Y46" s="3" t="str">
        <f t="shared" si="38"/>
        <v>.invinp=0</v>
      </c>
      <c r="Z46" s="3" t="str">
        <f t="shared" si="39"/>
        <v>.iewo=0</v>
      </c>
      <c r="AA46" s="3" t="str">
        <f t="shared" si="40"/>
        <v>.opendrn=0</v>
      </c>
      <c r="AB46" s="3" t="str">
        <f t="shared" si="41"/>
        <v>.invout=0</v>
      </c>
      <c r="AC46" s="3" t="str">
        <f t="shared" si="42"/>
        <v>.plevel=0</v>
      </c>
      <c r="AD46" s="3" t="str">
        <f t="shared" si="43"/>
        <v>.pen=0</v>
      </c>
      <c r="AE46" s="3" t="str">
        <f t="shared" si="9"/>
        <v>.pwoa=0</v>
      </c>
      <c r="AF46" s="3" t="str">
        <f t="shared" si="44"/>
        <v>.funsel=0</v>
      </c>
      <c r="AG46" s="3" t="str">
        <f t="shared" si="45"/>
        <v>.iodis=0</v>
      </c>
      <c r="AJ46" t="s">
        <v>321</v>
      </c>
      <c r="AK46" s="14" t="s">
        <v>333</v>
      </c>
      <c r="AL46" t="str">
        <f t="shared" si="46"/>
        <v>{VOR_PORTE, 8,en_iocfg_dir__input, {{.fltclk=0,.invinp=0,.iewo=0,.opendrn=0,.invout=0,.plevel=0,.pen=0,.pwoa=0,.funsel=0,.iodis=0}}},</v>
      </c>
    </row>
    <row r="47" spans="1:38" x14ac:dyDescent="0.25">
      <c r="A47" s="10">
        <v>42</v>
      </c>
      <c r="B47" s="7" t="s">
        <v>101</v>
      </c>
      <c r="C47" s="1" t="s">
        <v>319</v>
      </c>
      <c r="D47" s="10"/>
      <c r="E47" s="1" t="s">
        <v>179</v>
      </c>
      <c r="G47" s="1" t="s">
        <v>29</v>
      </c>
      <c r="I47" s="1" t="s">
        <v>180</v>
      </c>
      <c r="K47" s="7" t="str">
        <f t="shared" si="0"/>
        <v>ok</v>
      </c>
      <c r="V47" s="3" t="str">
        <f t="shared" si="13"/>
        <v>en_iocfg_dir__input</v>
      </c>
      <c r="W47" s="3" t="str">
        <f t="shared" si="36"/>
        <v>.flttype =0</v>
      </c>
      <c r="X47" s="3" t="str">
        <f t="shared" si="37"/>
        <v>.fltclk=0</v>
      </c>
      <c r="Y47" s="3" t="str">
        <f t="shared" si="38"/>
        <v>.invinp=0</v>
      </c>
      <c r="Z47" s="3" t="str">
        <f t="shared" si="39"/>
        <v>.iewo=0</v>
      </c>
      <c r="AA47" s="3" t="str">
        <f t="shared" si="40"/>
        <v>.opendrn=0</v>
      </c>
      <c r="AB47" s="3" t="str">
        <f t="shared" si="41"/>
        <v>.invout=0</v>
      </c>
      <c r="AC47" s="3" t="str">
        <f t="shared" si="42"/>
        <v>.plevel=0</v>
      </c>
      <c r="AD47" s="3" t="str">
        <f t="shared" si="43"/>
        <v>.pen=0</v>
      </c>
      <c r="AE47" s="3" t="str">
        <f t="shared" si="9"/>
        <v>.pwoa=0</v>
      </c>
      <c r="AF47" s="3" t="str">
        <f t="shared" si="44"/>
        <v>.funsel=0</v>
      </c>
      <c r="AG47" s="3" t="str">
        <f t="shared" si="45"/>
        <v>.iodis=0</v>
      </c>
      <c r="AJ47" t="s">
        <v>321</v>
      </c>
      <c r="AK47" s="14" t="s">
        <v>334</v>
      </c>
      <c r="AL47" t="str">
        <f t="shared" si="46"/>
        <v>{VOR_PORTE, 7,en_iocfg_dir__input, {{.fltclk=0,.invinp=0,.iewo=0,.opendrn=0,.invout=0,.plevel=0,.pen=0,.pwoa=0,.funsel=0,.iodis=0}}},</v>
      </c>
    </row>
    <row r="48" spans="1:38" x14ac:dyDescent="0.25">
      <c r="A48" s="10">
        <v>43</v>
      </c>
      <c r="B48" s="7" t="s">
        <v>100</v>
      </c>
      <c r="C48" s="1" t="s">
        <v>319</v>
      </c>
      <c r="D48" s="10"/>
      <c r="E48" s="1" t="s">
        <v>181</v>
      </c>
      <c r="G48" s="1" t="s">
        <v>28</v>
      </c>
      <c r="I48" s="1" t="s">
        <v>182</v>
      </c>
      <c r="K48" s="7" t="str">
        <f t="shared" si="0"/>
        <v>ok</v>
      </c>
      <c r="V48" s="3" t="str">
        <f t="shared" si="13"/>
        <v>en_iocfg_dir__input</v>
      </c>
      <c r="W48" s="3" t="str">
        <f t="shared" si="36"/>
        <v>.flttype =0</v>
      </c>
      <c r="X48" s="3" t="str">
        <f t="shared" si="37"/>
        <v>.fltclk=0</v>
      </c>
      <c r="Y48" s="3" t="str">
        <f t="shared" si="38"/>
        <v>.invinp=0</v>
      </c>
      <c r="Z48" s="3" t="str">
        <f t="shared" si="39"/>
        <v>.iewo=0</v>
      </c>
      <c r="AA48" s="3" t="str">
        <f t="shared" si="40"/>
        <v>.opendrn=0</v>
      </c>
      <c r="AB48" s="3" t="str">
        <f t="shared" si="41"/>
        <v>.invout=0</v>
      </c>
      <c r="AC48" s="3" t="str">
        <f t="shared" si="42"/>
        <v>.plevel=0</v>
      </c>
      <c r="AD48" s="3" t="str">
        <f t="shared" si="43"/>
        <v>.pen=0</v>
      </c>
      <c r="AE48" s="3" t="str">
        <f t="shared" si="9"/>
        <v>.pwoa=0</v>
      </c>
      <c r="AF48" s="3" t="str">
        <f t="shared" si="44"/>
        <v>.funsel=0</v>
      </c>
      <c r="AG48" s="3" t="str">
        <f t="shared" si="45"/>
        <v>.iodis=0</v>
      </c>
      <c r="AJ48" t="s">
        <v>321</v>
      </c>
      <c r="AK48" s="14" t="s">
        <v>335</v>
      </c>
      <c r="AL48" t="str">
        <f t="shared" si="46"/>
        <v>{VOR_PORTE, 6,en_iocfg_dir__input, {{.fltclk=0,.invinp=0,.iewo=0,.opendrn=0,.invout=0,.plevel=0,.pen=0,.pwoa=0,.funsel=0,.iodis=0}}},</v>
      </c>
    </row>
    <row r="49" spans="1:38" x14ac:dyDescent="0.25">
      <c r="A49" s="10">
        <v>44</v>
      </c>
      <c r="B49" s="7" t="s">
        <v>99</v>
      </c>
      <c r="C49" s="1" t="s">
        <v>319</v>
      </c>
      <c r="D49" s="10"/>
      <c r="E49" s="1" t="s">
        <v>183</v>
      </c>
      <c r="G49" s="1" t="s">
        <v>27</v>
      </c>
      <c r="I49" s="1" t="s">
        <v>184</v>
      </c>
      <c r="K49" s="7" t="str">
        <f t="shared" si="0"/>
        <v>ok</v>
      </c>
      <c r="V49" s="3" t="str">
        <f t="shared" si="13"/>
        <v>en_iocfg_dir__input</v>
      </c>
      <c r="W49" s="3" t="str">
        <f t="shared" si="36"/>
        <v>.flttype =0</v>
      </c>
      <c r="X49" s="3" t="str">
        <f t="shared" si="37"/>
        <v>.fltclk=0</v>
      </c>
      <c r="Y49" s="3" t="str">
        <f t="shared" si="38"/>
        <v>.invinp=0</v>
      </c>
      <c r="Z49" s="3" t="str">
        <f t="shared" si="39"/>
        <v>.iewo=0</v>
      </c>
      <c r="AA49" s="3" t="str">
        <f t="shared" si="40"/>
        <v>.opendrn=0</v>
      </c>
      <c r="AB49" s="3" t="str">
        <f t="shared" si="41"/>
        <v>.invout=0</v>
      </c>
      <c r="AC49" s="3" t="str">
        <f t="shared" si="42"/>
        <v>.plevel=0</v>
      </c>
      <c r="AD49" s="3" t="str">
        <f t="shared" si="43"/>
        <v>.pen=0</v>
      </c>
      <c r="AE49" s="3" t="str">
        <f t="shared" si="9"/>
        <v>.pwoa=0</v>
      </c>
      <c r="AF49" s="3" t="str">
        <f t="shared" si="44"/>
        <v>.funsel=0</v>
      </c>
      <c r="AG49" s="3" t="str">
        <f t="shared" si="45"/>
        <v>.iodis=0</v>
      </c>
      <c r="AJ49" t="s">
        <v>321</v>
      </c>
      <c r="AK49" s="14" t="s">
        <v>336</v>
      </c>
      <c r="AL49" t="str">
        <f t="shared" si="46"/>
        <v>{VOR_PORTE, 5,en_iocfg_dir__input, {{.fltclk=0,.invinp=0,.iewo=0,.opendrn=0,.invout=0,.plevel=0,.pen=0,.pwoa=0,.funsel=0,.iodis=0}}},</v>
      </c>
    </row>
    <row r="50" spans="1:38" x14ac:dyDescent="0.25">
      <c r="A50" s="10">
        <v>45</v>
      </c>
      <c r="B50" s="7" t="s">
        <v>98</v>
      </c>
      <c r="C50" s="1" t="s">
        <v>319</v>
      </c>
      <c r="D50" s="10"/>
      <c r="E50" s="1" t="s">
        <v>185</v>
      </c>
      <c r="G50" s="1" t="s">
        <v>26</v>
      </c>
      <c r="I50" s="1" t="s">
        <v>133</v>
      </c>
      <c r="K50" s="7" t="str">
        <f t="shared" si="0"/>
        <v>ok</v>
      </c>
      <c r="V50" s="3" t="str">
        <f t="shared" si="13"/>
        <v>en_iocfg_dir__input</v>
      </c>
      <c r="W50" s="3" t="str">
        <f t="shared" si="36"/>
        <v>.flttype =0</v>
      </c>
      <c r="X50" s="3" t="str">
        <f t="shared" si="37"/>
        <v>.fltclk=0</v>
      </c>
      <c r="Y50" s="3" t="str">
        <f t="shared" si="38"/>
        <v>.invinp=0</v>
      </c>
      <c r="Z50" s="3" t="str">
        <f t="shared" si="39"/>
        <v>.iewo=0</v>
      </c>
      <c r="AA50" s="3" t="str">
        <f t="shared" si="40"/>
        <v>.opendrn=0</v>
      </c>
      <c r="AB50" s="3" t="str">
        <f t="shared" si="41"/>
        <v>.invout=0</v>
      </c>
      <c r="AC50" s="3" t="str">
        <f t="shared" si="42"/>
        <v>.plevel=0</v>
      </c>
      <c r="AD50" s="3" t="str">
        <f t="shared" si="43"/>
        <v>.pen=0</v>
      </c>
      <c r="AE50" s="3" t="str">
        <f t="shared" si="9"/>
        <v>.pwoa=0</v>
      </c>
      <c r="AF50" s="3" t="str">
        <f t="shared" si="44"/>
        <v>.funsel=0</v>
      </c>
      <c r="AG50" s="3" t="str">
        <f t="shared" si="45"/>
        <v>.iodis=0</v>
      </c>
      <c r="AJ50" t="s">
        <v>321</v>
      </c>
      <c r="AK50" s="14" t="s">
        <v>337</v>
      </c>
      <c r="AL50" t="str">
        <f t="shared" si="46"/>
        <v>{VOR_PORTE, 4,en_iocfg_dir__input, {{.fltclk=0,.invinp=0,.iewo=0,.opendrn=0,.invout=0,.plevel=0,.pen=0,.pwoa=0,.funsel=0,.iodis=0}}},</v>
      </c>
    </row>
    <row r="51" spans="1:38" x14ac:dyDescent="0.25">
      <c r="A51" s="10">
        <v>46</v>
      </c>
      <c r="B51" s="7" t="s">
        <v>97</v>
      </c>
      <c r="C51" s="1" t="s">
        <v>319</v>
      </c>
      <c r="D51" s="10"/>
      <c r="E51" s="1" t="s">
        <v>186</v>
      </c>
      <c r="G51" s="1" t="s">
        <v>25</v>
      </c>
      <c r="I51" s="1" t="s">
        <v>1</v>
      </c>
      <c r="K51" s="7" t="str">
        <f t="shared" si="0"/>
        <v>ok</v>
      </c>
      <c r="V51" s="3" t="str">
        <f t="shared" si="13"/>
        <v>en_iocfg_dir__input</v>
      </c>
      <c r="W51" s="3" t="str">
        <f t="shared" si="36"/>
        <v>.flttype =0</v>
      </c>
      <c r="X51" s="3" t="str">
        <f t="shared" si="37"/>
        <v>.fltclk=0</v>
      </c>
      <c r="Y51" s="3" t="str">
        <f t="shared" si="38"/>
        <v>.invinp=0</v>
      </c>
      <c r="Z51" s="3" t="str">
        <f t="shared" si="39"/>
        <v>.iewo=0</v>
      </c>
      <c r="AA51" s="3" t="str">
        <f t="shared" si="40"/>
        <v>.opendrn=0</v>
      </c>
      <c r="AB51" s="3" t="str">
        <f t="shared" si="41"/>
        <v>.invout=0</v>
      </c>
      <c r="AC51" s="3" t="str">
        <f t="shared" si="42"/>
        <v>.plevel=0</v>
      </c>
      <c r="AD51" s="3" t="str">
        <f t="shared" si="43"/>
        <v>.pen=0</v>
      </c>
      <c r="AE51" s="3" t="str">
        <f t="shared" si="9"/>
        <v>.pwoa=0</v>
      </c>
      <c r="AF51" s="3" t="str">
        <f t="shared" si="44"/>
        <v>.funsel=0</v>
      </c>
      <c r="AG51" s="3" t="str">
        <f t="shared" si="45"/>
        <v>.iodis=0</v>
      </c>
      <c r="AJ51" t="s">
        <v>321</v>
      </c>
      <c r="AK51" s="14" t="s">
        <v>338</v>
      </c>
      <c r="AL51" t="str">
        <f t="shared" si="46"/>
        <v>{VOR_PORTE, 3,en_iocfg_dir__input, {{.fltclk=0,.invinp=0,.iewo=0,.opendrn=0,.invout=0,.plevel=0,.pen=0,.pwoa=0,.funsel=0,.iodis=0}}},</v>
      </c>
    </row>
    <row r="52" spans="1:38" x14ac:dyDescent="0.25">
      <c r="A52" s="10">
        <v>47</v>
      </c>
      <c r="B52" s="7" t="s">
        <v>96</v>
      </c>
      <c r="C52" s="1" t="s">
        <v>319</v>
      </c>
      <c r="D52" s="10"/>
      <c r="E52" s="1" t="s">
        <v>187</v>
      </c>
      <c r="G52" s="1" t="s">
        <v>24</v>
      </c>
      <c r="I52" s="1" t="s">
        <v>0</v>
      </c>
      <c r="K52" s="7" t="str">
        <f t="shared" si="0"/>
        <v>ok</v>
      </c>
      <c r="V52" s="3" t="str">
        <f t="shared" si="13"/>
        <v>en_iocfg_dir__input</v>
      </c>
      <c r="W52" s="3" t="str">
        <f t="shared" si="36"/>
        <v>.flttype =0</v>
      </c>
      <c r="X52" s="3" t="str">
        <f t="shared" si="37"/>
        <v>.fltclk=0</v>
      </c>
      <c r="Y52" s="3" t="str">
        <f t="shared" si="38"/>
        <v>.invinp=0</v>
      </c>
      <c r="Z52" s="3" t="str">
        <f t="shared" si="39"/>
        <v>.iewo=0</v>
      </c>
      <c r="AA52" s="3" t="str">
        <f t="shared" si="40"/>
        <v>.opendrn=0</v>
      </c>
      <c r="AB52" s="3" t="str">
        <f t="shared" si="41"/>
        <v>.invout=0</v>
      </c>
      <c r="AC52" s="3" t="str">
        <f t="shared" si="42"/>
        <v>.plevel=0</v>
      </c>
      <c r="AD52" s="3" t="str">
        <f t="shared" si="43"/>
        <v>.pen=0</v>
      </c>
      <c r="AE52" s="3" t="str">
        <f t="shared" si="9"/>
        <v>.pwoa=0</v>
      </c>
      <c r="AF52" s="3" t="str">
        <f t="shared" si="44"/>
        <v>.funsel=0</v>
      </c>
      <c r="AG52" s="3" t="str">
        <f t="shared" si="45"/>
        <v>.iodis=0</v>
      </c>
      <c r="AJ52" t="s">
        <v>321</v>
      </c>
      <c r="AK52" s="14" t="s">
        <v>339</v>
      </c>
      <c r="AL52" t="str">
        <f t="shared" si="46"/>
        <v>{VOR_PORTE, 2,en_iocfg_dir__input, {{.fltclk=0,.invinp=0,.iewo=0,.opendrn=0,.invout=0,.plevel=0,.pen=0,.pwoa=0,.funsel=0,.iodis=0}}},</v>
      </c>
    </row>
    <row r="53" spans="1:38" x14ac:dyDescent="0.25">
      <c r="A53" s="10">
        <v>48</v>
      </c>
      <c r="B53" s="7" t="s">
        <v>95</v>
      </c>
      <c r="C53" s="1" t="s">
        <v>319</v>
      </c>
      <c r="D53" s="10"/>
      <c r="E53" s="1" t="s">
        <v>188</v>
      </c>
      <c r="G53" s="1" t="s">
        <v>23</v>
      </c>
      <c r="I53" s="1" t="s">
        <v>132</v>
      </c>
      <c r="K53" s="7" t="str">
        <f t="shared" si="0"/>
        <v>ok</v>
      </c>
      <c r="V53" s="3" t="str">
        <f t="shared" si="13"/>
        <v>en_iocfg_dir__input</v>
      </c>
      <c r="W53" s="3" t="str">
        <f t="shared" si="36"/>
        <v>.flttype =0</v>
      </c>
      <c r="X53" s="3" t="str">
        <f t="shared" si="37"/>
        <v>.fltclk=0</v>
      </c>
      <c r="Y53" s="3" t="str">
        <f t="shared" si="38"/>
        <v>.invinp=0</v>
      </c>
      <c r="Z53" s="3" t="str">
        <f t="shared" si="39"/>
        <v>.iewo=0</v>
      </c>
      <c r="AA53" s="3" t="str">
        <f t="shared" si="40"/>
        <v>.opendrn=0</v>
      </c>
      <c r="AB53" s="3" t="str">
        <f t="shared" si="41"/>
        <v>.invout=0</v>
      </c>
      <c r="AC53" s="3" t="str">
        <f t="shared" si="42"/>
        <v>.plevel=0</v>
      </c>
      <c r="AD53" s="3" t="str">
        <f t="shared" si="43"/>
        <v>.pen=0</v>
      </c>
      <c r="AE53" s="3" t="str">
        <f t="shared" si="9"/>
        <v>.pwoa=0</v>
      </c>
      <c r="AF53" s="3" t="str">
        <f t="shared" si="44"/>
        <v>.funsel=0</v>
      </c>
      <c r="AG53" s="3" t="str">
        <f t="shared" si="45"/>
        <v>.iodis=0</v>
      </c>
      <c r="AJ53" t="s">
        <v>321</v>
      </c>
      <c r="AK53" s="14" t="s">
        <v>340</v>
      </c>
      <c r="AL53" t="str">
        <f t="shared" si="46"/>
        <v>{VOR_PORTE, 1,en_iocfg_dir__input, {{.fltclk=0,.invinp=0,.iewo=0,.opendrn=0,.invout=0,.plevel=0,.pen=0,.pwoa=0,.funsel=0,.iodis=0}}},</v>
      </c>
    </row>
    <row r="54" spans="1:38" x14ac:dyDescent="0.25">
      <c r="A54" s="10">
        <v>49</v>
      </c>
      <c r="B54" s="7" t="s">
        <v>94</v>
      </c>
      <c r="C54" s="1" t="s">
        <v>319</v>
      </c>
      <c r="D54" s="10"/>
      <c r="E54" s="1" t="s">
        <v>189</v>
      </c>
      <c r="G54" s="1" t="s">
        <v>22</v>
      </c>
      <c r="I54" s="1" t="s">
        <v>134</v>
      </c>
      <c r="K54" s="7" t="str">
        <f t="shared" si="0"/>
        <v>ok</v>
      </c>
      <c r="V54" s="3" t="str">
        <f t="shared" si="13"/>
        <v>en_iocfg_dir__input</v>
      </c>
      <c r="W54" s="3" t="str">
        <f t="shared" si="36"/>
        <v>.flttype =0</v>
      </c>
      <c r="X54" s="3" t="str">
        <f t="shared" si="37"/>
        <v>.fltclk=0</v>
      </c>
      <c r="Y54" s="3" t="str">
        <f t="shared" si="38"/>
        <v>.invinp=0</v>
      </c>
      <c r="Z54" s="3" t="str">
        <f t="shared" si="39"/>
        <v>.iewo=0</v>
      </c>
      <c r="AA54" s="3" t="str">
        <f t="shared" si="40"/>
        <v>.opendrn=0</v>
      </c>
      <c r="AB54" s="3" t="str">
        <f t="shared" si="41"/>
        <v>.invout=0</v>
      </c>
      <c r="AC54" s="3" t="str">
        <f t="shared" si="42"/>
        <v>.plevel=0</v>
      </c>
      <c r="AD54" s="3" t="str">
        <f t="shared" si="43"/>
        <v>.pen=0</v>
      </c>
      <c r="AE54" s="3" t="str">
        <f t="shared" si="9"/>
        <v>.pwoa=0</v>
      </c>
      <c r="AF54" s="3" t="str">
        <f t="shared" si="44"/>
        <v>.funsel=0</v>
      </c>
      <c r="AG54" s="3" t="str">
        <f t="shared" si="45"/>
        <v>.iodis=0</v>
      </c>
      <c r="AJ54" t="s">
        <v>321</v>
      </c>
      <c r="AK54" s="14" t="s">
        <v>341</v>
      </c>
      <c r="AL54" t="str">
        <f t="shared" si="46"/>
        <v>{VOR_PORTE, 0,en_iocfg_dir__input, {{.fltclk=0,.invinp=0,.iewo=0,.opendrn=0,.invout=0,.plevel=0,.pen=0,.pwoa=0,.funsel=0,.iodis=0}}},</v>
      </c>
    </row>
    <row r="55" spans="1:38" x14ac:dyDescent="0.25">
      <c r="A55" s="10">
        <v>50</v>
      </c>
      <c r="B55" s="7" t="s">
        <v>93</v>
      </c>
      <c r="C55" s="1" t="s">
        <v>319</v>
      </c>
      <c r="D55" s="10"/>
      <c r="E55" s="1" t="s">
        <v>190</v>
      </c>
      <c r="G55" s="1" t="s">
        <v>21</v>
      </c>
      <c r="I55" s="1" t="s">
        <v>133</v>
      </c>
      <c r="K55" s="7" t="str">
        <f t="shared" si="0"/>
        <v>ok</v>
      </c>
      <c r="V55" s="3" t="str">
        <f t="shared" si="13"/>
        <v>en_iocfg_dir__input</v>
      </c>
      <c r="W55" s="3" t="str">
        <f t="shared" si="36"/>
        <v>.flttype =0</v>
      </c>
      <c r="X55" s="3" t="str">
        <f t="shared" si="37"/>
        <v>.fltclk=0</v>
      </c>
      <c r="Y55" s="3" t="str">
        <f t="shared" si="38"/>
        <v>.invinp=0</v>
      </c>
      <c r="Z55" s="3" t="str">
        <f t="shared" si="39"/>
        <v>.iewo=0</v>
      </c>
      <c r="AA55" s="3" t="str">
        <f t="shared" si="40"/>
        <v>.opendrn=0</v>
      </c>
      <c r="AB55" s="3" t="str">
        <f t="shared" si="41"/>
        <v>.invout=0</v>
      </c>
      <c r="AC55" s="3" t="str">
        <f t="shared" si="42"/>
        <v>.plevel=0</v>
      </c>
      <c r="AD55" s="3" t="str">
        <f t="shared" si="43"/>
        <v>.pen=0</v>
      </c>
      <c r="AE55" s="3" t="str">
        <f t="shared" si="9"/>
        <v>.pwoa=0</v>
      </c>
      <c r="AF55" s="3" t="str">
        <f t="shared" si="44"/>
        <v>.funsel=0</v>
      </c>
      <c r="AG55" s="3" t="str">
        <f t="shared" si="45"/>
        <v>.iodis=0</v>
      </c>
      <c r="AJ55" t="s">
        <v>322</v>
      </c>
      <c r="AK55" s="14">
        <v>15</v>
      </c>
      <c r="AL55" t="str">
        <f t="shared" si="46"/>
        <v>{VOR_PORTD,15,en_iocfg_dir__input, {{.fltclk=0,.invinp=0,.iewo=0,.opendrn=0,.invout=0,.plevel=0,.pen=0,.pwoa=0,.funsel=0,.iodis=0}}},</v>
      </c>
    </row>
    <row r="56" spans="1:38" x14ac:dyDescent="0.25">
      <c r="A56" s="10">
        <v>51</v>
      </c>
      <c r="B56" s="7" t="s">
        <v>92</v>
      </c>
      <c r="C56" s="1" t="s">
        <v>319</v>
      </c>
      <c r="D56" s="10"/>
      <c r="E56" s="1" t="s">
        <v>191</v>
      </c>
      <c r="G56" s="1" t="s">
        <v>20</v>
      </c>
      <c r="I56" s="1" t="s">
        <v>133</v>
      </c>
      <c r="K56" s="7" t="str">
        <f t="shared" si="0"/>
        <v>ok</v>
      </c>
      <c r="V56" s="3" t="str">
        <f t="shared" si="13"/>
        <v>en_iocfg_dir__input</v>
      </c>
      <c r="W56" s="3" t="str">
        <f t="shared" si="36"/>
        <v>.flttype =0</v>
      </c>
      <c r="X56" s="3" t="str">
        <f t="shared" si="37"/>
        <v>.fltclk=0</v>
      </c>
      <c r="Y56" s="3" t="str">
        <f t="shared" si="38"/>
        <v>.invinp=0</v>
      </c>
      <c r="Z56" s="3" t="str">
        <f t="shared" si="39"/>
        <v>.iewo=0</v>
      </c>
      <c r="AA56" s="3" t="str">
        <f t="shared" si="40"/>
        <v>.opendrn=0</v>
      </c>
      <c r="AB56" s="3" t="str">
        <f t="shared" si="41"/>
        <v>.invout=0</v>
      </c>
      <c r="AC56" s="3" t="str">
        <f t="shared" si="42"/>
        <v>.plevel=0</v>
      </c>
      <c r="AD56" s="3" t="str">
        <f t="shared" si="43"/>
        <v>.pen=0</v>
      </c>
      <c r="AE56" s="3" t="str">
        <f t="shared" si="9"/>
        <v>.pwoa=0</v>
      </c>
      <c r="AF56" s="3" t="str">
        <f t="shared" si="44"/>
        <v>.funsel=0</v>
      </c>
      <c r="AG56" s="3" t="str">
        <f t="shared" si="45"/>
        <v>.iodis=0</v>
      </c>
      <c r="AJ56" t="s">
        <v>322</v>
      </c>
      <c r="AK56" s="14">
        <v>14</v>
      </c>
      <c r="AL56" t="str">
        <f t="shared" si="46"/>
        <v>{VOR_PORTD,14,en_iocfg_dir__input, {{.fltclk=0,.invinp=0,.iewo=0,.opendrn=0,.invout=0,.plevel=0,.pen=0,.pwoa=0,.funsel=0,.iodis=0}}},</v>
      </c>
    </row>
    <row r="57" spans="1:38" x14ac:dyDescent="0.25">
      <c r="A57" s="10">
        <v>52</v>
      </c>
      <c r="B57" s="7" t="s">
        <v>91</v>
      </c>
      <c r="C57" s="1" t="s">
        <v>319</v>
      </c>
      <c r="D57" s="10"/>
      <c r="E57" s="1" t="s">
        <v>192</v>
      </c>
      <c r="G57" s="1" t="s">
        <v>19</v>
      </c>
      <c r="I57" s="1" t="s">
        <v>133</v>
      </c>
      <c r="K57" s="7" t="str">
        <f t="shared" si="0"/>
        <v>ok</v>
      </c>
      <c r="V57" s="3" t="str">
        <f t="shared" si="13"/>
        <v>en_iocfg_dir__input</v>
      </c>
      <c r="W57" s="3" t="str">
        <f t="shared" si="36"/>
        <v>.flttype =0</v>
      </c>
      <c r="X57" s="3" t="str">
        <f t="shared" si="37"/>
        <v>.fltclk=0</v>
      </c>
      <c r="Y57" s="3" t="str">
        <f t="shared" si="38"/>
        <v>.invinp=0</v>
      </c>
      <c r="Z57" s="3" t="str">
        <f t="shared" si="39"/>
        <v>.iewo=0</v>
      </c>
      <c r="AA57" s="3" t="str">
        <f t="shared" si="40"/>
        <v>.opendrn=0</v>
      </c>
      <c r="AB57" s="3" t="str">
        <f t="shared" si="41"/>
        <v>.invout=0</v>
      </c>
      <c r="AC57" s="3" t="str">
        <f t="shared" si="42"/>
        <v>.plevel=0</v>
      </c>
      <c r="AD57" s="3" t="str">
        <f t="shared" si="43"/>
        <v>.pen=0</v>
      </c>
      <c r="AE57" s="3" t="str">
        <f t="shared" si="9"/>
        <v>.pwoa=0</v>
      </c>
      <c r="AF57" s="3" t="str">
        <f t="shared" si="44"/>
        <v>.funsel=0</v>
      </c>
      <c r="AG57" s="3" t="str">
        <f t="shared" si="45"/>
        <v>.iodis=0</v>
      </c>
      <c r="AJ57" t="s">
        <v>322</v>
      </c>
      <c r="AK57" s="14">
        <v>13</v>
      </c>
      <c r="AL57" t="str">
        <f t="shared" si="46"/>
        <v>{VOR_PORTD,13,en_iocfg_dir__input, {{.fltclk=0,.invinp=0,.iewo=0,.opendrn=0,.invout=0,.plevel=0,.pen=0,.pwoa=0,.funsel=0,.iodis=0}}},</v>
      </c>
    </row>
    <row r="58" spans="1:38" x14ac:dyDescent="0.25">
      <c r="A58" s="10">
        <v>53</v>
      </c>
      <c r="B58" s="7" t="s">
        <v>90</v>
      </c>
      <c r="C58" s="1" t="s">
        <v>319</v>
      </c>
      <c r="D58" s="10"/>
      <c r="E58" s="1" t="s">
        <v>193</v>
      </c>
      <c r="G58" s="1" t="s">
        <v>18</v>
      </c>
      <c r="I58" s="1" t="s">
        <v>3</v>
      </c>
      <c r="K58" s="7" t="str">
        <f t="shared" si="0"/>
        <v>ok</v>
      </c>
      <c r="V58" s="3" t="str">
        <f t="shared" si="13"/>
        <v>en_iocfg_dir__input</v>
      </c>
      <c r="W58" s="3" t="str">
        <f t="shared" si="36"/>
        <v>.flttype =0</v>
      </c>
      <c r="X58" s="3" t="str">
        <f t="shared" si="37"/>
        <v>.fltclk=0</v>
      </c>
      <c r="Y58" s="3" t="str">
        <f t="shared" si="38"/>
        <v>.invinp=0</v>
      </c>
      <c r="Z58" s="3" t="str">
        <f t="shared" si="39"/>
        <v>.iewo=0</v>
      </c>
      <c r="AA58" s="3" t="str">
        <f t="shared" si="40"/>
        <v>.opendrn=0</v>
      </c>
      <c r="AB58" s="3" t="str">
        <f t="shared" si="41"/>
        <v>.invout=0</v>
      </c>
      <c r="AC58" s="3" t="str">
        <f t="shared" si="42"/>
        <v>.plevel=0</v>
      </c>
      <c r="AD58" s="3" t="str">
        <f t="shared" si="43"/>
        <v>.pen=0</v>
      </c>
      <c r="AE58" s="3" t="str">
        <f t="shared" si="9"/>
        <v>.pwoa=0</v>
      </c>
      <c r="AF58" s="3" t="str">
        <f t="shared" si="44"/>
        <v>.funsel=0</v>
      </c>
      <c r="AG58" s="3" t="str">
        <f t="shared" si="45"/>
        <v>.iodis=0</v>
      </c>
      <c r="AJ58" t="s">
        <v>322</v>
      </c>
      <c r="AK58" s="14">
        <v>12</v>
      </c>
      <c r="AL58" t="str">
        <f t="shared" si="46"/>
        <v>{VOR_PORTD,12,en_iocfg_dir__input, {{.fltclk=0,.invinp=0,.iewo=0,.opendrn=0,.invout=0,.plevel=0,.pen=0,.pwoa=0,.funsel=0,.iodis=0}}},</v>
      </c>
    </row>
    <row r="59" spans="1:38" x14ac:dyDescent="0.25">
      <c r="A59" s="10">
        <v>54</v>
      </c>
      <c r="B59" s="7" t="s">
        <v>89</v>
      </c>
      <c r="C59" s="1" t="s">
        <v>319</v>
      </c>
      <c r="D59" s="10"/>
      <c r="E59" s="1" t="s">
        <v>194</v>
      </c>
      <c r="G59" s="1" t="s">
        <v>17</v>
      </c>
      <c r="I59" s="1" t="s">
        <v>2</v>
      </c>
      <c r="K59" s="7" t="str">
        <f t="shared" si="0"/>
        <v>ok</v>
      </c>
      <c r="V59" s="3" t="str">
        <f t="shared" si="13"/>
        <v>en_iocfg_dir__input</v>
      </c>
      <c r="W59" s="3" t="str">
        <f t="shared" si="36"/>
        <v>.flttype =0</v>
      </c>
      <c r="X59" s="3" t="str">
        <f t="shared" si="37"/>
        <v>.fltclk=0</v>
      </c>
      <c r="Y59" s="3" t="str">
        <f t="shared" si="38"/>
        <v>.invinp=0</v>
      </c>
      <c r="Z59" s="3" t="str">
        <f t="shared" si="39"/>
        <v>.iewo=0</v>
      </c>
      <c r="AA59" s="3" t="str">
        <f t="shared" si="40"/>
        <v>.opendrn=0</v>
      </c>
      <c r="AB59" s="3" t="str">
        <f t="shared" si="41"/>
        <v>.invout=0</v>
      </c>
      <c r="AC59" s="3" t="str">
        <f t="shared" si="42"/>
        <v>.plevel=0</v>
      </c>
      <c r="AD59" s="3" t="str">
        <f t="shared" si="43"/>
        <v>.pen=0</v>
      </c>
      <c r="AE59" s="3" t="str">
        <f t="shared" si="9"/>
        <v>.pwoa=0</v>
      </c>
      <c r="AF59" s="3" t="str">
        <f t="shared" si="44"/>
        <v>.funsel=0</v>
      </c>
      <c r="AG59" s="3" t="str">
        <f t="shared" si="45"/>
        <v>.iodis=0</v>
      </c>
      <c r="AJ59" t="s">
        <v>322</v>
      </c>
      <c r="AK59" s="14">
        <v>11</v>
      </c>
      <c r="AL59" t="str">
        <f t="shared" si="46"/>
        <v>{VOR_PORTD,11,en_iocfg_dir__input, {{.fltclk=0,.invinp=0,.iewo=0,.opendrn=0,.invout=0,.plevel=0,.pen=0,.pwoa=0,.funsel=0,.iodis=0}}},</v>
      </c>
    </row>
    <row r="60" spans="1:38" x14ac:dyDescent="0.25">
      <c r="A60" s="10">
        <v>55</v>
      </c>
      <c r="B60" s="7" t="s">
        <v>144</v>
      </c>
      <c r="D60" s="10"/>
      <c r="E60" s="1" t="s">
        <v>137</v>
      </c>
      <c r="G60" s="1" t="s">
        <v>137</v>
      </c>
      <c r="I60" s="1" t="s">
        <v>137</v>
      </c>
      <c r="AJ60" t="s">
        <v>144</v>
      </c>
    </row>
    <row r="61" spans="1:38" x14ac:dyDescent="0.25">
      <c r="A61" s="10">
        <v>56</v>
      </c>
      <c r="B61" s="7" t="s">
        <v>143</v>
      </c>
      <c r="D61" s="10"/>
      <c r="E61" s="1" t="s">
        <v>137</v>
      </c>
      <c r="G61" s="1" t="s">
        <v>137</v>
      </c>
      <c r="I61" s="1" t="s">
        <v>137</v>
      </c>
      <c r="AJ61" t="s">
        <v>143</v>
      </c>
    </row>
    <row r="62" spans="1:38" x14ac:dyDescent="0.25">
      <c r="A62" s="10">
        <v>57</v>
      </c>
      <c r="B62" s="7" t="s">
        <v>142</v>
      </c>
      <c r="D62" s="10"/>
      <c r="E62" s="1" t="s">
        <v>137</v>
      </c>
      <c r="G62" s="1" t="s">
        <v>137</v>
      </c>
      <c r="I62" s="1" t="s">
        <v>137</v>
      </c>
      <c r="AJ62" t="s">
        <v>142</v>
      </c>
    </row>
    <row r="63" spans="1:38" x14ac:dyDescent="0.25">
      <c r="A63" s="10">
        <v>58</v>
      </c>
      <c r="B63" s="7" t="s">
        <v>88</v>
      </c>
      <c r="C63" s="1" t="s">
        <v>319</v>
      </c>
      <c r="D63" s="10"/>
      <c r="E63" s="1" t="s">
        <v>195</v>
      </c>
      <c r="G63" s="1" t="s">
        <v>16</v>
      </c>
      <c r="I63" s="1" t="s">
        <v>135</v>
      </c>
      <c r="K63" s="7" t="str">
        <f t="shared" si="0"/>
        <v>ok</v>
      </c>
      <c r="V63" s="3" t="str">
        <f t="shared" si="13"/>
        <v>en_iocfg_dir__input</v>
      </c>
      <c r="W63" s="3" t="str">
        <f t="shared" ref="W63:W84" si="47">IF(L63=0,".flttype =0",IF(L63=1,".flttype =1",IF(L63=2,".flttype =2",IF(L63=3,".flttype =3",IF(L63=4,".flttype =4",IF(L63=5,".flttype =5"))))))</f>
        <v>.flttype =0</v>
      </c>
      <c r="X63" s="3" t="str">
        <f t="shared" ref="X63:X84" si="48">IF(M63=0,".fltclk=0",IF(M63=1,".fltclk=1",IF(M63=2,".fltclk=2",IF(M63=3,".fltclk=3",IF(M63=4,".fltclk=4",IF(M63=5,".fltclk=5",".fltclk=6"))))))</f>
        <v>.fltclk=0</v>
      </c>
      <c r="Y63" s="3" t="str">
        <f t="shared" ref="Y63:Y84" si="49">IF(N63="Y",".invinp=1",".invinp=0")</f>
        <v>.invinp=0</v>
      </c>
      <c r="Z63" s="3" t="str">
        <f t="shared" ref="Z63:Z84" si="50">IF(O63="Y",".iewo=1",".iewo=0")</f>
        <v>.iewo=0</v>
      </c>
      <c r="AA63" s="3" t="str">
        <f t="shared" ref="AA63:AA84" si="51">IF(P63="Y",".opendrn=1",".opendrn=0")</f>
        <v>.opendrn=0</v>
      </c>
      <c r="AB63" s="3" t="str">
        <f t="shared" ref="AB63:AB84" si="52">IF(Q63="Y",".invout=1",".invout=0")</f>
        <v>.invout=0</v>
      </c>
      <c r="AC63" s="3" t="str">
        <f t="shared" ref="AC63:AC84" si="53">IF(R63="H",".plevel=1",".plevel=0")</f>
        <v>.plevel=0</v>
      </c>
      <c r="AD63" s="3" t="str">
        <f t="shared" ref="AD63:AD84" si="54">IF(S63="Y",".pen=1",".pen=0")</f>
        <v>.pen=0</v>
      </c>
      <c r="AE63" s="3" t="str">
        <f t="shared" si="9"/>
        <v>.pwoa=0</v>
      </c>
      <c r="AF63" s="3" t="str">
        <f t="shared" ref="AF63:AF84" si="55">IF(C63="Y",".funsel=0",IF(F63="Y",".funsel=1",IF(H63="Y",".funsel=2",IF(J63="Y",".funsel=3",".funsel=0")) ) )</f>
        <v>.funsel=0</v>
      </c>
      <c r="AG63" s="3" t="str">
        <f t="shared" ref="AG63:AG84" si="56">IF(U63="Y",".iodis=1",".iodis=0")</f>
        <v>.iodis=0</v>
      </c>
      <c r="AJ63" t="s">
        <v>322</v>
      </c>
      <c r="AK63" s="14">
        <v>10</v>
      </c>
      <c r="AL63" t="str">
        <f t="shared" ref="AL63:AL84" si="57">_xlfn.CONCAT("{VOR_",AJ63,",",AK63,",", V63,", {{",X63,",",Y63,",",Z63,",",AA63,",",AB63,",",AC63,",",AD63,",",AE63,",",AF63,",",AG63,"}}},")</f>
        <v>{VOR_PORTD,10,en_iocfg_dir__input, {{.fltclk=0,.invinp=0,.iewo=0,.opendrn=0,.invout=0,.plevel=0,.pen=0,.pwoa=0,.funsel=0,.iodis=0}}},</v>
      </c>
    </row>
    <row r="64" spans="1:38" x14ac:dyDescent="0.25">
      <c r="A64" s="10">
        <v>59</v>
      </c>
      <c r="B64" s="7" t="s">
        <v>87</v>
      </c>
      <c r="C64" s="1" t="s">
        <v>319</v>
      </c>
      <c r="D64" s="10"/>
      <c r="E64" s="1" t="s">
        <v>196</v>
      </c>
      <c r="G64" s="1" t="s">
        <v>15</v>
      </c>
      <c r="I64" s="1" t="s">
        <v>145</v>
      </c>
      <c r="K64" s="7" t="str">
        <f t="shared" si="0"/>
        <v>ok</v>
      </c>
      <c r="V64" s="3" t="str">
        <f t="shared" si="13"/>
        <v>en_iocfg_dir__input</v>
      </c>
      <c r="W64" s="3" t="str">
        <f t="shared" si="47"/>
        <v>.flttype =0</v>
      </c>
      <c r="X64" s="3" t="str">
        <f t="shared" si="48"/>
        <v>.fltclk=0</v>
      </c>
      <c r="Y64" s="3" t="str">
        <f t="shared" si="49"/>
        <v>.invinp=0</v>
      </c>
      <c r="Z64" s="3" t="str">
        <f t="shared" si="50"/>
        <v>.iewo=0</v>
      </c>
      <c r="AA64" s="3" t="str">
        <f t="shared" si="51"/>
        <v>.opendrn=0</v>
      </c>
      <c r="AB64" s="3" t="str">
        <f t="shared" si="52"/>
        <v>.invout=0</v>
      </c>
      <c r="AC64" s="3" t="str">
        <f t="shared" si="53"/>
        <v>.plevel=0</v>
      </c>
      <c r="AD64" s="3" t="str">
        <f t="shared" si="54"/>
        <v>.pen=0</v>
      </c>
      <c r="AE64" s="3" t="str">
        <f t="shared" si="9"/>
        <v>.pwoa=0</v>
      </c>
      <c r="AF64" s="3" t="str">
        <f t="shared" si="55"/>
        <v>.funsel=0</v>
      </c>
      <c r="AG64" s="3" t="str">
        <f t="shared" si="56"/>
        <v>.iodis=0</v>
      </c>
      <c r="AJ64" t="s">
        <v>322</v>
      </c>
      <c r="AK64" s="14" t="s">
        <v>332</v>
      </c>
      <c r="AL64" t="str">
        <f t="shared" si="57"/>
        <v>{VOR_PORTD, 9,en_iocfg_dir__input, {{.fltclk=0,.invinp=0,.iewo=0,.opendrn=0,.invout=0,.plevel=0,.pen=0,.pwoa=0,.funsel=0,.iodis=0}}},</v>
      </c>
    </row>
    <row r="65" spans="1:38" x14ac:dyDescent="0.25">
      <c r="A65" s="10">
        <v>60</v>
      </c>
      <c r="B65" s="7" t="s">
        <v>86</v>
      </c>
      <c r="C65" s="1" t="s">
        <v>319</v>
      </c>
      <c r="D65" s="10"/>
      <c r="E65" s="1" t="s">
        <v>197</v>
      </c>
      <c r="G65" s="1" t="s">
        <v>14</v>
      </c>
      <c r="I65" s="1" t="s">
        <v>133</v>
      </c>
      <c r="K65" s="7" t="str">
        <f t="shared" si="0"/>
        <v>ok</v>
      </c>
      <c r="V65" s="3" t="str">
        <f t="shared" si="13"/>
        <v>en_iocfg_dir__input</v>
      </c>
      <c r="W65" s="3" t="str">
        <f t="shared" si="47"/>
        <v>.flttype =0</v>
      </c>
      <c r="X65" s="3" t="str">
        <f t="shared" si="48"/>
        <v>.fltclk=0</v>
      </c>
      <c r="Y65" s="3" t="str">
        <f t="shared" si="49"/>
        <v>.invinp=0</v>
      </c>
      <c r="Z65" s="3" t="str">
        <f t="shared" si="50"/>
        <v>.iewo=0</v>
      </c>
      <c r="AA65" s="3" t="str">
        <f t="shared" si="51"/>
        <v>.opendrn=0</v>
      </c>
      <c r="AB65" s="3" t="str">
        <f t="shared" si="52"/>
        <v>.invout=0</v>
      </c>
      <c r="AC65" s="3" t="str">
        <f t="shared" si="53"/>
        <v>.plevel=0</v>
      </c>
      <c r="AD65" s="3" t="str">
        <f t="shared" si="54"/>
        <v>.pen=0</v>
      </c>
      <c r="AE65" s="3" t="str">
        <f t="shared" si="9"/>
        <v>.pwoa=0</v>
      </c>
      <c r="AF65" s="3" t="str">
        <f t="shared" si="55"/>
        <v>.funsel=0</v>
      </c>
      <c r="AG65" s="3" t="str">
        <f t="shared" si="56"/>
        <v>.iodis=0</v>
      </c>
      <c r="AJ65" t="s">
        <v>322</v>
      </c>
      <c r="AK65" s="14" t="s">
        <v>333</v>
      </c>
      <c r="AL65" t="str">
        <f t="shared" si="57"/>
        <v>{VOR_PORTD, 8,en_iocfg_dir__input, {{.fltclk=0,.invinp=0,.iewo=0,.opendrn=0,.invout=0,.plevel=0,.pen=0,.pwoa=0,.funsel=0,.iodis=0}}},</v>
      </c>
    </row>
    <row r="66" spans="1:38" x14ac:dyDescent="0.25">
      <c r="A66" s="10">
        <v>61</v>
      </c>
      <c r="B66" s="7" t="s">
        <v>85</v>
      </c>
      <c r="C66" s="1" t="s">
        <v>319</v>
      </c>
      <c r="D66" s="10"/>
      <c r="E66" s="1" t="s">
        <v>198</v>
      </c>
      <c r="G66" s="1" t="s">
        <v>13</v>
      </c>
      <c r="I66" s="1" t="s">
        <v>133</v>
      </c>
      <c r="K66" s="7" t="str">
        <f t="shared" si="0"/>
        <v>ok</v>
      </c>
      <c r="V66" s="3" t="str">
        <f t="shared" si="13"/>
        <v>en_iocfg_dir__input</v>
      </c>
      <c r="W66" s="3" t="str">
        <f t="shared" si="47"/>
        <v>.flttype =0</v>
      </c>
      <c r="X66" s="3" t="str">
        <f t="shared" si="48"/>
        <v>.fltclk=0</v>
      </c>
      <c r="Y66" s="3" t="str">
        <f t="shared" si="49"/>
        <v>.invinp=0</v>
      </c>
      <c r="Z66" s="3" t="str">
        <f t="shared" si="50"/>
        <v>.iewo=0</v>
      </c>
      <c r="AA66" s="3" t="str">
        <f t="shared" si="51"/>
        <v>.opendrn=0</v>
      </c>
      <c r="AB66" s="3" t="str">
        <f t="shared" si="52"/>
        <v>.invout=0</v>
      </c>
      <c r="AC66" s="3" t="str">
        <f t="shared" si="53"/>
        <v>.plevel=0</v>
      </c>
      <c r="AD66" s="3" t="str">
        <f t="shared" si="54"/>
        <v>.pen=0</v>
      </c>
      <c r="AE66" s="3" t="str">
        <f t="shared" si="9"/>
        <v>.pwoa=0</v>
      </c>
      <c r="AF66" s="3" t="str">
        <f t="shared" si="55"/>
        <v>.funsel=0</v>
      </c>
      <c r="AG66" s="3" t="str">
        <f t="shared" si="56"/>
        <v>.iodis=0</v>
      </c>
      <c r="AJ66" t="s">
        <v>322</v>
      </c>
      <c r="AK66" s="14" t="s">
        <v>334</v>
      </c>
      <c r="AL66" t="str">
        <f t="shared" si="57"/>
        <v>{VOR_PORTD, 7,en_iocfg_dir__input, {{.fltclk=0,.invinp=0,.iewo=0,.opendrn=0,.invout=0,.plevel=0,.pen=0,.pwoa=0,.funsel=0,.iodis=0}}},</v>
      </c>
    </row>
    <row r="67" spans="1:38" x14ac:dyDescent="0.25">
      <c r="A67" s="10">
        <v>62</v>
      </c>
      <c r="B67" s="7" t="s">
        <v>84</v>
      </c>
      <c r="C67" s="1" t="s">
        <v>319</v>
      </c>
      <c r="D67" s="10"/>
      <c r="E67" s="1" t="s">
        <v>199</v>
      </c>
      <c r="G67" s="1" t="s">
        <v>12</v>
      </c>
      <c r="I67" s="1" t="s">
        <v>133</v>
      </c>
      <c r="K67" s="7" t="str">
        <f t="shared" si="0"/>
        <v>ok</v>
      </c>
      <c r="V67" s="3" t="str">
        <f t="shared" si="13"/>
        <v>en_iocfg_dir__input</v>
      </c>
      <c r="W67" s="3" t="str">
        <f t="shared" si="47"/>
        <v>.flttype =0</v>
      </c>
      <c r="X67" s="3" t="str">
        <f t="shared" si="48"/>
        <v>.fltclk=0</v>
      </c>
      <c r="Y67" s="3" t="str">
        <f t="shared" si="49"/>
        <v>.invinp=0</v>
      </c>
      <c r="Z67" s="3" t="str">
        <f t="shared" si="50"/>
        <v>.iewo=0</v>
      </c>
      <c r="AA67" s="3" t="str">
        <f t="shared" si="51"/>
        <v>.opendrn=0</v>
      </c>
      <c r="AB67" s="3" t="str">
        <f t="shared" si="52"/>
        <v>.invout=0</v>
      </c>
      <c r="AC67" s="3" t="str">
        <f t="shared" si="53"/>
        <v>.plevel=0</v>
      </c>
      <c r="AD67" s="3" t="str">
        <f t="shared" si="54"/>
        <v>.pen=0</v>
      </c>
      <c r="AE67" s="3" t="str">
        <f t="shared" si="9"/>
        <v>.pwoa=0</v>
      </c>
      <c r="AF67" s="3" t="str">
        <f t="shared" si="55"/>
        <v>.funsel=0</v>
      </c>
      <c r="AG67" s="3" t="str">
        <f t="shared" si="56"/>
        <v>.iodis=0</v>
      </c>
      <c r="AJ67" t="s">
        <v>322</v>
      </c>
      <c r="AK67" s="14" t="s">
        <v>335</v>
      </c>
      <c r="AL67" t="str">
        <f t="shared" si="57"/>
        <v>{VOR_PORTD, 6,en_iocfg_dir__input, {{.fltclk=0,.invinp=0,.iewo=0,.opendrn=0,.invout=0,.plevel=0,.pen=0,.pwoa=0,.funsel=0,.iodis=0}}},</v>
      </c>
    </row>
    <row r="68" spans="1:38" x14ac:dyDescent="0.25">
      <c r="A68" s="10">
        <v>63</v>
      </c>
      <c r="B68" s="7" t="s">
        <v>83</v>
      </c>
      <c r="C68" s="1" t="s">
        <v>319</v>
      </c>
      <c r="D68" s="10"/>
      <c r="E68" s="1" t="s">
        <v>200</v>
      </c>
      <c r="G68" s="1" t="s">
        <v>11</v>
      </c>
      <c r="I68" s="1" t="s">
        <v>133</v>
      </c>
      <c r="K68" s="7" t="str">
        <f t="shared" ref="K68:K131" si="58">IF(COUNTIF(C68:J68,"y")&gt;1,"error",IF(COUNTIF(C68:J68,"y")&lt;1,"Not Assigned","ok"))</f>
        <v>ok</v>
      </c>
      <c r="V68" s="3" t="str">
        <f t="shared" si="13"/>
        <v>en_iocfg_dir__input</v>
      </c>
      <c r="W68" s="3" t="str">
        <f t="shared" si="47"/>
        <v>.flttype =0</v>
      </c>
      <c r="X68" s="3" t="str">
        <f t="shared" si="48"/>
        <v>.fltclk=0</v>
      </c>
      <c r="Y68" s="3" t="str">
        <f t="shared" si="49"/>
        <v>.invinp=0</v>
      </c>
      <c r="Z68" s="3" t="str">
        <f t="shared" si="50"/>
        <v>.iewo=0</v>
      </c>
      <c r="AA68" s="3" t="str">
        <f t="shared" si="51"/>
        <v>.opendrn=0</v>
      </c>
      <c r="AB68" s="3" t="str">
        <f t="shared" si="52"/>
        <v>.invout=0</v>
      </c>
      <c r="AC68" s="3" t="str">
        <f t="shared" si="53"/>
        <v>.plevel=0</v>
      </c>
      <c r="AD68" s="3" t="str">
        <f t="shared" si="54"/>
        <v>.pen=0</v>
      </c>
      <c r="AE68" s="3" t="str">
        <f t="shared" si="9"/>
        <v>.pwoa=0</v>
      </c>
      <c r="AF68" s="3" t="str">
        <f t="shared" si="55"/>
        <v>.funsel=0</v>
      </c>
      <c r="AG68" s="3" t="str">
        <f t="shared" si="56"/>
        <v>.iodis=0</v>
      </c>
      <c r="AJ68" t="s">
        <v>322</v>
      </c>
      <c r="AK68" s="14" t="s">
        <v>336</v>
      </c>
      <c r="AL68" t="str">
        <f t="shared" si="57"/>
        <v>{VOR_PORTD, 5,en_iocfg_dir__input, {{.fltclk=0,.invinp=0,.iewo=0,.opendrn=0,.invout=0,.plevel=0,.pen=0,.pwoa=0,.funsel=0,.iodis=0}}},</v>
      </c>
    </row>
    <row r="69" spans="1:38" x14ac:dyDescent="0.25">
      <c r="A69" s="10">
        <v>64</v>
      </c>
      <c r="B69" s="7" t="s">
        <v>82</v>
      </c>
      <c r="C69" s="1" t="s">
        <v>319</v>
      </c>
      <c r="D69" s="10"/>
      <c r="E69" s="1" t="s">
        <v>201</v>
      </c>
      <c r="G69" s="1" t="s">
        <v>10</v>
      </c>
      <c r="I69" s="1" t="s">
        <v>133</v>
      </c>
      <c r="K69" s="7" t="str">
        <f t="shared" si="58"/>
        <v>ok</v>
      </c>
      <c r="V69" s="3" t="str">
        <f t="shared" si="13"/>
        <v>en_iocfg_dir__input</v>
      </c>
      <c r="W69" s="3" t="str">
        <f t="shared" si="47"/>
        <v>.flttype =0</v>
      </c>
      <c r="X69" s="3" t="str">
        <f t="shared" si="48"/>
        <v>.fltclk=0</v>
      </c>
      <c r="Y69" s="3" t="str">
        <f t="shared" si="49"/>
        <v>.invinp=0</v>
      </c>
      <c r="Z69" s="3" t="str">
        <f t="shared" si="50"/>
        <v>.iewo=0</v>
      </c>
      <c r="AA69" s="3" t="str">
        <f t="shared" si="51"/>
        <v>.opendrn=0</v>
      </c>
      <c r="AB69" s="3" t="str">
        <f t="shared" si="52"/>
        <v>.invout=0</v>
      </c>
      <c r="AC69" s="3" t="str">
        <f t="shared" si="53"/>
        <v>.plevel=0</v>
      </c>
      <c r="AD69" s="3" t="str">
        <f t="shared" si="54"/>
        <v>.pen=0</v>
      </c>
      <c r="AE69" s="3" t="str">
        <f t="shared" ref="AE69:AE132" si="59">IF(T69="Y",".pwoa=1",".pwoa=0")</f>
        <v>.pwoa=0</v>
      </c>
      <c r="AF69" s="3" t="str">
        <f t="shared" si="55"/>
        <v>.funsel=0</v>
      </c>
      <c r="AG69" s="3" t="str">
        <f t="shared" si="56"/>
        <v>.iodis=0</v>
      </c>
      <c r="AJ69" t="s">
        <v>322</v>
      </c>
      <c r="AK69" s="14" t="s">
        <v>337</v>
      </c>
      <c r="AL69" t="str">
        <f t="shared" si="57"/>
        <v>{VOR_PORTD, 4,en_iocfg_dir__input, {{.fltclk=0,.invinp=0,.iewo=0,.opendrn=0,.invout=0,.plevel=0,.pen=0,.pwoa=0,.funsel=0,.iodis=0}}},</v>
      </c>
    </row>
    <row r="70" spans="1:38" x14ac:dyDescent="0.25">
      <c r="A70" s="10">
        <v>65</v>
      </c>
      <c r="B70" s="7" t="s">
        <v>81</v>
      </c>
      <c r="C70" s="1" t="s">
        <v>319</v>
      </c>
      <c r="D70" s="10"/>
      <c r="E70" s="1" t="s">
        <v>202</v>
      </c>
      <c r="G70" s="1" t="s">
        <v>9</v>
      </c>
      <c r="I70" s="1" t="s">
        <v>133</v>
      </c>
      <c r="K70" s="7" t="str">
        <f t="shared" si="58"/>
        <v>ok</v>
      </c>
      <c r="V70" s="3" t="str">
        <f t="shared" ref="V70:V133" si="60">IF(OR(F70="Y",H70="Y",J70="Y"),"en_iocfg_dir_dncare",IF(D70="Out","en_iocfg_dir_output","en_iocfg_dir__input"))</f>
        <v>en_iocfg_dir__input</v>
      </c>
      <c r="W70" s="3" t="str">
        <f t="shared" si="47"/>
        <v>.flttype =0</v>
      </c>
      <c r="X70" s="3" t="str">
        <f t="shared" si="48"/>
        <v>.fltclk=0</v>
      </c>
      <c r="Y70" s="3" t="str">
        <f t="shared" si="49"/>
        <v>.invinp=0</v>
      </c>
      <c r="Z70" s="3" t="str">
        <f t="shared" si="50"/>
        <v>.iewo=0</v>
      </c>
      <c r="AA70" s="3" t="str">
        <f t="shared" si="51"/>
        <v>.opendrn=0</v>
      </c>
      <c r="AB70" s="3" t="str">
        <f t="shared" si="52"/>
        <v>.invout=0</v>
      </c>
      <c r="AC70" s="3" t="str">
        <f t="shared" si="53"/>
        <v>.plevel=0</v>
      </c>
      <c r="AD70" s="3" t="str">
        <f t="shared" si="54"/>
        <v>.pen=0</v>
      </c>
      <c r="AE70" s="3" t="str">
        <f t="shared" si="59"/>
        <v>.pwoa=0</v>
      </c>
      <c r="AF70" s="3" t="str">
        <f t="shared" si="55"/>
        <v>.funsel=0</v>
      </c>
      <c r="AG70" s="3" t="str">
        <f t="shared" si="56"/>
        <v>.iodis=0</v>
      </c>
      <c r="AJ70" t="s">
        <v>322</v>
      </c>
      <c r="AK70" s="14" t="s">
        <v>338</v>
      </c>
      <c r="AL70" t="str">
        <f t="shared" si="57"/>
        <v>{VOR_PORTD, 3,en_iocfg_dir__input, {{.fltclk=0,.invinp=0,.iewo=0,.opendrn=0,.invout=0,.plevel=0,.pen=0,.pwoa=0,.funsel=0,.iodis=0}}},</v>
      </c>
    </row>
    <row r="71" spans="1:38" x14ac:dyDescent="0.25">
      <c r="A71" s="10">
        <v>66</v>
      </c>
      <c r="B71" s="7" t="s">
        <v>80</v>
      </c>
      <c r="C71" s="1" t="s">
        <v>319</v>
      </c>
      <c r="D71" s="10"/>
      <c r="E71" s="1" t="s">
        <v>203</v>
      </c>
      <c r="G71" s="1" t="s">
        <v>8</v>
      </c>
      <c r="I71" s="1" t="s">
        <v>133</v>
      </c>
      <c r="K71" s="7" t="str">
        <f t="shared" si="58"/>
        <v>ok</v>
      </c>
      <c r="V71" s="3" t="str">
        <f t="shared" si="60"/>
        <v>en_iocfg_dir__input</v>
      </c>
      <c r="W71" s="3" t="str">
        <f t="shared" si="47"/>
        <v>.flttype =0</v>
      </c>
      <c r="X71" s="3" t="str">
        <f t="shared" si="48"/>
        <v>.fltclk=0</v>
      </c>
      <c r="Y71" s="3" t="str">
        <f t="shared" si="49"/>
        <v>.invinp=0</v>
      </c>
      <c r="Z71" s="3" t="str">
        <f t="shared" si="50"/>
        <v>.iewo=0</v>
      </c>
      <c r="AA71" s="3" t="str">
        <f t="shared" si="51"/>
        <v>.opendrn=0</v>
      </c>
      <c r="AB71" s="3" t="str">
        <f t="shared" si="52"/>
        <v>.invout=0</v>
      </c>
      <c r="AC71" s="3" t="str">
        <f t="shared" si="53"/>
        <v>.plevel=0</v>
      </c>
      <c r="AD71" s="3" t="str">
        <f t="shared" si="54"/>
        <v>.pen=0</v>
      </c>
      <c r="AE71" s="3" t="str">
        <f t="shared" si="59"/>
        <v>.pwoa=0</v>
      </c>
      <c r="AF71" s="3" t="str">
        <f t="shared" si="55"/>
        <v>.funsel=0</v>
      </c>
      <c r="AG71" s="3" t="str">
        <f t="shared" si="56"/>
        <v>.iodis=0</v>
      </c>
      <c r="AJ71" t="s">
        <v>322</v>
      </c>
      <c r="AK71" s="14" t="s">
        <v>339</v>
      </c>
      <c r="AL71" t="str">
        <f t="shared" si="57"/>
        <v>{VOR_PORTD, 2,en_iocfg_dir__input, {{.fltclk=0,.invinp=0,.iewo=0,.opendrn=0,.invout=0,.plevel=0,.pen=0,.pwoa=0,.funsel=0,.iodis=0}}},</v>
      </c>
    </row>
    <row r="72" spans="1:38" x14ac:dyDescent="0.25">
      <c r="A72" s="10">
        <v>67</v>
      </c>
      <c r="B72" s="7" t="s">
        <v>79</v>
      </c>
      <c r="C72" s="1" t="s">
        <v>319</v>
      </c>
      <c r="D72" s="10"/>
      <c r="E72" s="1" t="s">
        <v>204</v>
      </c>
      <c r="G72" s="1" t="s">
        <v>7</v>
      </c>
      <c r="I72" s="1" t="s">
        <v>133</v>
      </c>
      <c r="K72" s="7" t="str">
        <f t="shared" ref="K72" si="61">IF(COUNTIF(C72:J72,"y")&gt;1,"error",IF(COUNTIF(C72:J72,"y")&lt;1,"Not Assigned","ok"))</f>
        <v>ok</v>
      </c>
      <c r="V72" s="3" t="str">
        <f t="shared" si="60"/>
        <v>en_iocfg_dir__input</v>
      </c>
      <c r="W72" s="3" t="str">
        <f t="shared" si="47"/>
        <v>.flttype =0</v>
      </c>
      <c r="X72" s="3" t="str">
        <f t="shared" si="48"/>
        <v>.fltclk=0</v>
      </c>
      <c r="Y72" s="3" t="str">
        <f t="shared" si="49"/>
        <v>.invinp=0</v>
      </c>
      <c r="Z72" s="3" t="str">
        <f t="shared" si="50"/>
        <v>.iewo=0</v>
      </c>
      <c r="AA72" s="3" t="str">
        <f t="shared" si="51"/>
        <v>.opendrn=0</v>
      </c>
      <c r="AB72" s="3" t="str">
        <f t="shared" si="52"/>
        <v>.invout=0</v>
      </c>
      <c r="AC72" s="3" t="str">
        <f t="shared" si="53"/>
        <v>.plevel=0</v>
      </c>
      <c r="AD72" s="3" t="str">
        <f t="shared" si="54"/>
        <v>.pen=0</v>
      </c>
      <c r="AE72" s="3" t="str">
        <f t="shared" si="59"/>
        <v>.pwoa=0</v>
      </c>
      <c r="AF72" s="3" t="str">
        <f t="shared" si="55"/>
        <v>.funsel=0</v>
      </c>
      <c r="AG72" s="3" t="str">
        <f t="shared" si="56"/>
        <v>.iodis=0</v>
      </c>
      <c r="AJ72" t="s">
        <v>322</v>
      </c>
      <c r="AK72" s="14" t="s">
        <v>340</v>
      </c>
      <c r="AL72" t="str">
        <f t="shared" si="57"/>
        <v>{VOR_PORTD, 1,en_iocfg_dir__input, {{.fltclk=0,.invinp=0,.iewo=0,.opendrn=0,.invout=0,.plevel=0,.pen=0,.pwoa=0,.funsel=0,.iodis=0}}},</v>
      </c>
    </row>
    <row r="73" spans="1:38" x14ac:dyDescent="0.25">
      <c r="A73" s="10">
        <v>68</v>
      </c>
      <c r="B73" s="7" t="s">
        <v>78</v>
      </c>
      <c r="C73" s="1" t="s">
        <v>319</v>
      </c>
      <c r="D73" s="10"/>
      <c r="E73" s="1" t="s">
        <v>205</v>
      </c>
      <c r="G73" s="1" t="s">
        <v>6</v>
      </c>
      <c r="I73" s="1" t="s">
        <v>133</v>
      </c>
      <c r="K73" s="7" t="str">
        <f t="shared" si="58"/>
        <v>ok</v>
      </c>
      <c r="V73" s="3" t="str">
        <f t="shared" si="60"/>
        <v>en_iocfg_dir__input</v>
      </c>
      <c r="W73" s="3" t="str">
        <f t="shared" si="47"/>
        <v>.flttype =0</v>
      </c>
      <c r="X73" s="3" t="str">
        <f t="shared" si="48"/>
        <v>.fltclk=0</v>
      </c>
      <c r="Y73" s="3" t="str">
        <f t="shared" si="49"/>
        <v>.invinp=0</v>
      </c>
      <c r="Z73" s="3" t="str">
        <f t="shared" si="50"/>
        <v>.iewo=0</v>
      </c>
      <c r="AA73" s="3" t="str">
        <f t="shared" si="51"/>
        <v>.opendrn=0</v>
      </c>
      <c r="AB73" s="3" t="str">
        <f t="shared" si="52"/>
        <v>.invout=0</v>
      </c>
      <c r="AC73" s="3" t="str">
        <f t="shared" si="53"/>
        <v>.plevel=0</v>
      </c>
      <c r="AD73" s="3" t="str">
        <f t="shared" si="54"/>
        <v>.pen=0</v>
      </c>
      <c r="AE73" s="3" t="str">
        <f t="shared" si="59"/>
        <v>.pwoa=0</v>
      </c>
      <c r="AF73" s="3" t="str">
        <f t="shared" si="55"/>
        <v>.funsel=0</v>
      </c>
      <c r="AG73" s="3" t="str">
        <f t="shared" si="56"/>
        <v>.iodis=0</v>
      </c>
      <c r="AJ73" t="s">
        <v>322</v>
      </c>
      <c r="AK73" s="14" t="s">
        <v>341</v>
      </c>
      <c r="AL73" t="str">
        <f t="shared" si="57"/>
        <v>{VOR_PORTD, 0,en_iocfg_dir__input, {{.fltclk=0,.invinp=0,.iewo=0,.opendrn=0,.invout=0,.plevel=0,.pen=0,.pwoa=0,.funsel=0,.iodis=0}}},</v>
      </c>
    </row>
    <row r="74" spans="1:38" x14ac:dyDescent="0.25">
      <c r="A74" s="10">
        <v>69</v>
      </c>
      <c r="B74" s="7" t="s">
        <v>77</v>
      </c>
      <c r="C74" s="1" t="s">
        <v>319</v>
      </c>
      <c r="D74" s="10"/>
      <c r="E74" s="1" t="s">
        <v>206</v>
      </c>
      <c r="G74" s="1" t="s">
        <v>5</v>
      </c>
      <c r="I74" s="1" t="s">
        <v>133</v>
      </c>
      <c r="K74" s="7" t="str">
        <f t="shared" si="58"/>
        <v>ok</v>
      </c>
      <c r="V74" s="3" t="str">
        <f t="shared" si="60"/>
        <v>en_iocfg_dir__input</v>
      </c>
      <c r="W74" s="3" t="str">
        <f t="shared" si="47"/>
        <v>.flttype =0</v>
      </c>
      <c r="X74" s="3" t="str">
        <f t="shared" si="48"/>
        <v>.fltclk=0</v>
      </c>
      <c r="Y74" s="3" t="str">
        <f t="shared" si="49"/>
        <v>.invinp=0</v>
      </c>
      <c r="Z74" s="3" t="str">
        <f t="shared" si="50"/>
        <v>.iewo=0</v>
      </c>
      <c r="AA74" s="3" t="str">
        <f t="shared" si="51"/>
        <v>.opendrn=0</v>
      </c>
      <c r="AB74" s="3" t="str">
        <f t="shared" si="52"/>
        <v>.invout=0</v>
      </c>
      <c r="AC74" s="3" t="str">
        <f t="shared" si="53"/>
        <v>.plevel=0</v>
      </c>
      <c r="AD74" s="3" t="str">
        <f t="shared" si="54"/>
        <v>.pen=0</v>
      </c>
      <c r="AE74" s="3" t="str">
        <f t="shared" si="59"/>
        <v>.pwoa=0</v>
      </c>
      <c r="AF74" s="3" t="str">
        <f t="shared" si="55"/>
        <v>.funsel=0</v>
      </c>
      <c r="AG74" s="3" t="str">
        <f t="shared" si="56"/>
        <v>.iodis=0</v>
      </c>
      <c r="AJ74" t="s">
        <v>323</v>
      </c>
      <c r="AK74" s="14">
        <v>15</v>
      </c>
      <c r="AL74" t="str">
        <f t="shared" si="57"/>
        <v>{VOR_PORTC,15,en_iocfg_dir__input, {{.fltclk=0,.invinp=0,.iewo=0,.opendrn=0,.invout=0,.plevel=0,.pen=0,.pwoa=0,.funsel=0,.iodis=0}}},</v>
      </c>
    </row>
    <row r="75" spans="1:38" x14ac:dyDescent="0.25">
      <c r="A75" s="10">
        <v>70</v>
      </c>
      <c r="B75" s="7" t="s">
        <v>76</v>
      </c>
      <c r="C75" s="1" t="s">
        <v>319</v>
      </c>
      <c r="D75" s="10"/>
      <c r="E75" s="1" t="s">
        <v>207</v>
      </c>
      <c r="G75" s="1" t="s">
        <v>4</v>
      </c>
      <c r="I75" s="1" t="s">
        <v>133</v>
      </c>
      <c r="K75" s="7" t="str">
        <f t="shared" si="58"/>
        <v>ok</v>
      </c>
      <c r="V75" s="3" t="str">
        <f t="shared" si="60"/>
        <v>en_iocfg_dir__input</v>
      </c>
      <c r="W75" s="3" t="str">
        <f t="shared" si="47"/>
        <v>.flttype =0</v>
      </c>
      <c r="X75" s="3" t="str">
        <f t="shared" si="48"/>
        <v>.fltclk=0</v>
      </c>
      <c r="Y75" s="3" t="str">
        <f t="shared" si="49"/>
        <v>.invinp=0</v>
      </c>
      <c r="Z75" s="3" t="str">
        <f t="shared" si="50"/>
        <v>.iewo=0</v>
      </c>
      <c r="AA75" s="3" t="str">
        <f t="shared" si="51"/>
        <v>.opendrn=0</v>
      </c>
      <c r="AB75" s="3" t="str">
        <f t="shared" si="52"/>
        <v>.invout=0</v>
      </c>
      <c r="AC75" s="3" t="str">
        <f t="shared" si="53"/>
        <v>.plevel=0</v>
      </c>
      <c r="AD75" s="3" t="str">
        <f t="shared" si="54"/>
        <v>.pen=0</v>
      </c>
      <c r="AE75" s="3" t="str">
        <f t="shared" si="59"/>
        <v>.pwoa=0</v>
      </c>
      <c r="AF75" s="3" t="str">
        <f t="shared" si="55"/>
        <v>.funsel=0</v>
      </c>
      <c r="AG75" s="3" t="str">
        <f t="shared" si="56"/>
        <v>.iodis=0</v>
      </c>
      <c r="AJ75" t="s">
        <v>323</v>
      </c>
      <c r="AK75" s="14">
        <v>14</v>
      </c>
      <c r="AL75" t="str">
        <f t="shared" si="57"/>
        <v>{VOR_PORTC,14,en_iocfg_dir__input, {{.fltclk=0,.invinp=0,.iewo=0,.opendrn=0,.invout=0,.plevel=0,.pen=0,.pwoa=0,.funsel=0,.iodis=0}}},</v>
      </c>
    </row>
    <row r="76" spans="1:38" x14ac:dyDescent="0.25">
      <c r="A76" s="10">
        <v>71</v>
      </c>
      <c r="B76" s="7" t="s">
        <v>75</v>
      </c>
      <c r="C76" s="1" t="s">
        <v>319</v>
      </c>
      <c r="D76" s="10"/>
      <c r="E76" s="1" t="s">
        <v>208</v>
      </c>
      <c r="G76" s="1" t="s">
        <v>146</v>
      </c>
      <c r="I76" s="1" t="s">
        <v>133</v>
      </c>
      <c r="K76" s="7" t="str">
        <f t="shared" si="58"/>
        <v>ok</v>
      </c>
      <c r="V76" s="3" t="str">
        <f t="shared" si="60"/>
        <v>en_iocfg_dir__input</v>
      </c>
      <c r="W76" s="3" t="str">
        <f t="shared" si="47"/>
        <v>.flttype =0</v>
      </c>
      <c r="X76" s="3" t="str">
        <f t="shared" si="48"/>
        <v>.fltclk=0</v>
      </c>
      <c r="Y76" s="3" t="str">
        <f t="shared" si="49"/>
        <v>.invinp=0</v>
      </c>
      <c r="Z76" s="3" t="str">
        <f t="shared" si="50"/>
        <v>.iewo=0</v>
      </c>
      <c r="AA76" s="3" t="str">
        <f t="shared" si="51"/>
        <v>.opendrn=0</v>
      </c>
      <c r="AB76" s="3" t="str">
        <f t="shared" si="52"/>
        <v>.invout=0</v>
      </c>
      <c r="AC76" s="3" t="str">
        <f t="shared" si="53"/>
        <v>.plevel=0</v>
      </c>
      <c r="AD76" s="3" t="str">
        <f t="shared" si="54"/>
        <v>.pen=0</v>
      </c>
      <c r="AE76" s="3" t="str">
        <f t="shared" si="59"/>
        <v>.pwoa=0</v>
      </c>
      <c r="AF76" s="3" t="str">
        <f t="shared" si="55"/>
        <v>.funsel=0</v>
      </c>
      <c r="AG76" s="3" t="str">
        <f t="shared" si="56"/>
        <v>.iodis=0</v>
      </c>
      <c r="AJ76" t="s">
        <v>323</v>
      </c>
      <c r="AK76" s="14">
        <v>13</v>
      </c>
      <c r="AL76" t="str">
        <f t="shared" si="57"/>
        <v>{VOR_PORTC,13,en_iocfg_dir__input, {{.fltclk=0,.invinp=0,.iewo=0,.opendrn=0,.invout=0,.plevel=0,.pen=0,.pwoa=0,.funsel=0,.iodis=0}}},</v>
      </c>
    </row>
    <row r="77" spans="1:38" x14ac:dyDescent="0.25">
      <c r="A77" s="10">
        <v>72</v>
      </c>
      <c r="B77" s="7" t="s">
        <v>74</v>
      </c>
      <c r="C77" s="1" t="s">
        <v>319</v>
      </c>
      <c r="D77" s="10"/>
      <c r="E77" s="1" t="s">
        <v>209</v>
      </c>
      <c r="G77" s="1" t="s">
        <v>148</v>
      </c>
      <c r="I77" s="1" t="s">
        <v>133</v>
      </c>
      <c r="K77" s="7" t="str">
        <f t="shared" si="58"/>
        <v>ok</v>
      </c>
      <c r="V77" s="3" t="str">
        <f t="shared" si="60"/>
        <v>en_iocfg_dir__input</v>
      </c>
      <c r="W77" s="3" t="str">
        <f t="shared" si="47"/>
        <v>.flttype =0</v>
      </c>
      <c r="X77" s="3" t="str">
        <f t="shared" si="48"/>
        <v>.fltclk=0</v>
      </c>
      <c r="Y77" s="3" t="str">
        <f t="shared" si="49"/>
        <v>.invinp=0</v>
      </c>
      <c r="Z77" s="3" t="str">
        <f t="shared" si="50"/>
        <v>.iewo=0</v>
      </c>
      <c r="AA77" s="3" t="str">
        <f t="shared" si="51"/>
        <v>.opendrn=0</v>
      </c>
      <c r="AB77" s="3" t="str">
        <f t="shared" si="52"/>
        <v>.invout=0</v>
      </c>
      <c r="AC77" s="3" t="str">
        <f t="shared" si="53"/>
        <v>.plevel=0</v>
      </c>
      <c r="AD77" s="3" t="str">
        <f t="shared" si="54"/>
        <v>.pen=0</v>
      </c>
      <c r="AE77" s="3" t="str">
        <f t="shared" si="59"/>
        <v>.pwoa=0</v>
      </c>
      <c r="AF77" s="3" t="str">
        <f t="shared" si="55"/>
        <v>.funsel=0</v>
      </c>
      <c r="AG77" s="3" t="str">
        <f t="shared" si="56"/>
        <v>.iodis=0</v>
      </c>
      <c r="AJ77" t="s">
        <v>323</v>
      </c>
      <c r="AK77" s="14">
        <v>12</v>
      </c>
      <c r="AL77" t="str">
        <f t="shared" si="57"/>
        <v>{VOR_PORTC,12,en_iocfg_dir__input, {{.fltclk=0,.invinp=0,.iewo=0,.opendrn=0,.invout=0,.plevel=0,.pen=0,.pwoa=0,.funsel=0,.iodis=0}}},</v>
      </c>
    </row>
    <row r="78" spans="1:38" x14ac:dyDescent="0.25">
      <c r="A78" s="10">
        <v>73</v>
      </c>
      <c r="B78" s="7" t="s">
        <v>73</v>
      </c>
      <c r="C78" s="1" t="s">
        <v>319</v>
      </c>
      <c r="D78" s="10"/>
      <c r="E78" s="1" t="s">
        <v>210</v>
      </c>
      <c r="G78" s="1" t="s">
        <v>150</v>
      </c>
      <c r="I78" s="1" t="s">
        <v>133</v>
      </c>
      <c r="K78" s="7" t="str">
        <f t="shared" si="58"/>
        <v>ok</v>
      </c>
      <c r="V78" s="3" t="str">
        <f t="shared" si="60"/>
        <v>en_iocfg_dir__input</v>
      </c>
      <c r="W78" s="3" t="str">
        <f t="shared" si="47"/>
        <v>.flttype =0</v>
      </c>
      <c r="X78" s="3" t="str">
        <f t="shared" si="48"/>
        <v>.fltclk=0</v>
      </c>
      <c r="Y78" s="3" t="str">
        <f t="shared" si="49"/>
        <v>.invinp=0</v>
      </c>
      <c r="Z78" s="3" t="str">
        <f t="shared" si="50"/>
        <v>.iewo=0</v>
      </c>
      <c r="AA78" s="3" t="str">
        <f t="shared" si="51"/>
        <v>.opendrn=0</v>
      </c>
      <c r="AB78" s="3" t="str">
        <f t="shared" si="52"/>
        <v>.invout=0</v>
      </c>
      <c r="AC78" s="3" t="str">
        <f t="shared" si="53"/>
        <v>.plevel=0</v>
      </c>
      <c r="AD78" s="3" t="str">
        <f t="shared" si="54"/>
        <v>.pen=0</v>
      </c>
      <c r="AE78" s="3" t="str">
        <f t="shared" si="59"/>
        <v>.pwoa=0</v>
      </c>
      <c r="AF78" s="3" t="str">
        <f t="shared" si="55"/>
        <v>.funsel=0</v>
      </c>
      <c r="AG78" s="3" t="str">
        <f t="shared" si="56"/>
        <v>.iodis=0</v>
      </c>
      <c r="AJ78" t="s">
        <v>323</v>
      </c>
      <c r="AK78" s="14">
        <v>11</v>
      </c>
      <c r="AL78" t="str">
        <f t="shared" si="57"/>
        <v>{VOR_PORTC,11,en_iocfg_dir__input, {{.fltclk=0,.invinp=0,.iewo=0,.opendrn=0,.invout=0,.plevel=0,.pen=0,.pwoa=0,.funsel=0,.iodis=0}}},</v>
      </c>
    </row>
    <row r="79" spans="1:38" x14ac:dyDescent="0.25">
      <c r="A79" s="10">
        <v>74</v>
      </c>
      <c r="B79" s="7" t="s">
        <v>72</v>
      </c>
      <c r="C79" s="1" t="s">
        <v>319</v>
      </c>
      <c r="D79" s="10"/>
      <c r="E79" s="1" t="s">
        <v>211</v>
      </c>
      <c r="G79" s="1" t="s">
        <v>152</v>
      </c>
      <c r="I79" s="1" t="s">
        <v>133</v>
      </c>
      <c r="K79" s="7" t="str">
        <f t="shared" si="58"/>
        <v>ok</v>
      </c>
      <c r="V79" s="3" t="str">
        <f t="shared" si="60"/>
        <v>en_iocfg_dir__input</v>
      </c>
      <c r="W79" s="3" t="str">
        <f t="shared" si="47"/>
        <v>.flttype =0</v>
      </c>
      <c r="X79" s="3" t="str">
        <f t="shared" si="48"/>
        <v>.fltclk=0</v>
      </c>
      <c r="Y79" s="3" t="str">
        <f t="shared" si="49"/>
        <v>.invinp=0</v>
      </c>
      <c r="Z79" s="3" t="str">
        <f t="shared" si="50"/>
        <v>.iewo=0</v>
      </c>
      <c r="AA79" s="3" t="str">
        <f t="shared" si="51"/>
        <v>.opendrn=0</v>
      </c>
      <c r="AB79" s="3" t="str">
        <f t="shared" si="52"/>
        <v>.invout=0</v>
      </c>
      <c r="AC79" s="3" t="str">
        <f t="shared" si="53"/>
        <v>.plevel=0</v>
      </c>
      <c r="AD79" s="3" t="str">
        <f t="shared" si="54"/>
        <v>.pen=0</v>
      </c>
      <c r="AE79" s="3" t="str">
        <f t="shared" si="59"/>
        <v>.pwoa=0</v>
      </c>
      <c r="AF79" s="3" t="str">
        <f t="shared" si="55"/>
        <v>.funsel=0</v>
      </c>
      <c r="AG79" s="3" t="str">
        <f t="shared" si="56"/>
        <v>.iodis=0</v>
      </c>
      <c r="AJ79" t="s">
        <v>323</v>
      </c>
      <c r="AK79" s="14">
        <v>10</v>
      </c>
      <c r="AL79" t="str">
        <f t="shared" si="57"/>
        <v>{VOR_PORTC,10,en_iocfg_dir__input, {{.fltclk=0,.invinp=0,.iewo=0,.opendrn=0,.invout=0,.plevel=0,.pen=0,.pwoa=0,.funsel=0,.iodis=0}}},</v>
      </c>
    </row>
    <row r="80" spans="1:38" x14ac:dyDescent="0.25">
      <c r="A80" s="10">
        <v>75</v>
      </c>
      <c r="B80" s="7" t="s">
        <v>71</v>
      </c>
      <c r="C80" s="1" t="s">
        <v>319</v>
      </c>
      <c r="D80" s="10"/>
      <c r="E80" s="1" t="s">
        <v>212</v>
      </c>
      <c r="G80" s="1" t="s">
        <v>154</v>
      </c>
      <c r="I80" s="1" t="s">
        <v>133</v>
      </c>
      <c r="K80" s="7" t="str">
        <f t="shared" si="58"/>
        <v>ok</v>
      </c>
      <c r="V80" s="3" t="str">
        <f t="shared" si="60"/>
        <v>en_iocfg_dir__input</v>
      </c>
      <c r="W80" s="3" t="str">
        <f t="shared" si="47"/>
        <v>.flttype =0</v>
      </c>
      <c r="X80" s="3" t="str">
        <f t="shared" si="48"/>
        <v>.fltclk=0</v>
      </c>
      <c r="Y80" s="3" t="str">
        <f t="shared" si="49"/>
        <v>.invinp=0</v>
      </c>
      <c r="Z80" s="3" t="str">
        <f t="shared" si="50"/>
        <v>.iewo=0</v>
      </c>
      <c r="AA80" s="3" t="str">
        <f t="shared" si="51"/>
        <v>.opendrn=0</v>
      </c>
      <c r="AB80" s="3" t="str">
        <f t="shared" si="52"/>
        <v>.invout=0</v>
      </c>
      <c r="AC80" s="3" t="str">
        <f t="shared" si="53"/>
        <v>.plevel=0</v>
      </c>
      <c r="AD80" s="3" t="str">
        <f t="shared" si="54"/>
        <v>.pen=0</v>
      </c>
      <c r="AE80" s="3" t="str">
        <f t="shared" si="59"/>
        <v>.pwoa=0</v>
      </c>
      <c r="AF80" s="3" t="str">
        <f t="shared" si="55"/>
        <v>.funsel=0</v>
      </c>
      <c r="AG80" s="3" t="str">
        <f t="shared" si="56"/>
        <v>.iodis=0</v>
      </c>
      <c r="AJ80" t="s">
        <v>323</v>
      </c>
      <c r="AK80" s="14" t="s">
        <v>332</v>
      </c>
      <c r="AL80" t="str">
        <f t="shared" si="57"/>
        <v>{VOR_PORTC, 9,en_iocfg_dir__input, {{.fltclk=0,.invinp=0,.iewo=0,.opendrn=0,.invout=0,.plevel=0,.pen=0,.pwoa=0,.funsel=0,.iodis=0}}},</v>
      </c>
    </row>
    <row r="81" spans="1:38" x14ac:dyDescent="0.25">
      <c r="A81" s="10">
        <v>76</v>
      </c>
      <c r="B81" s="7" t="s">
        <v>70</v>
      </c>
      <c r="C81" s="1" t="s">
        <v>319</v>
      </c>
      <c r="D81" s="10"/>
      <c r="E81" s="1" t="s">
        <v>213</v>
      </c>
      <c r="G81" s="1" t="s">
        <v>160</v>
      </c>
      <c r="I81" s="1" t="s">
        <v>133</v>
      </c>
      <c r="K81" s="7" t="str">
        <f t="shared" si="58"/>
        <v>ok</v>
      </c>
      <c r="V81" s="3" t="str">
        <f t="shared" si="60"/>
        <v>en_iocfg_dir__input</v>
      </c>
      <c r="W81" s="3" t="str">
        <f t="shared" si="47"/>
        <v>.flttype =0</v>
      </c>
      <c r="X81" s="3" t="str">
        <f t="shared" si="48"/>
        <v>.fltclk=0</v>
      </c>
      <c r="Y81" s="3" t="str">
        <f t="shared" si="49"/>
        <v>.invinp=0</v>
      </c>
      <c r="Z81" s="3" t="str">
        <f t="shared" si="50"/>
        <v>.iewo=0</v>
      </c>
      <c r="AA81" s="3" t="str">
        <f t="shared" si="51"/>
        <v>.opendrn=0</v>
      </c>
      <c r="AB81" s="3" t="str">
        <f t="shared" si="52"/>
        <v>.invout=0</v>
      </c>
      <c r="AC81" s="3" t="str">
        <f t="shared" si="53"/>
        <v>.plevel=0</v>
      </c>
      <c r="AD81" s="3" t="str">
        <f t="shared" si="54"/>
        <v>.pen=0</v>
      </c>
      <c r="AE81" s="3" t="str">
        <f t="shared" si="59"/>
        <v>.pwoa=0</v>
      </c>
      <c r="AF81" s="3" t="str">
        <f t="shared" si="55"/>
        <v>.funsel=0</v>
      </c>
      <c r="AG81" s="3" t="str">
        <f t="shared" si="56"/>
        <v>.iodis=0</v>
      </c>
      <c r="AJ81" t="s">
        <v>323</v>
      </c>
      <c r="AK81" s="14" t="s">
        <v>333</v>
      </c>
      <c r="AL81" t="str">
        <f t="shared" si="57"/>
        <v>{VOR_PORTC, 8,en_iocfg_dir__input, {{.fltclk=0,.invinp=0,.iewo=0,.opendrn=0,.invout=0,.plevel=0,.pen=0,.pwoa=0,.funsel=0,.iodis=0}}},</v>
      </c>
    </row>
    <row r="82" spans="1:38" x14ac:dyDescent="0.25">
      <c r="A82" s="10">
        <v>77</v>
      </c>
      <c r="B82" s="7" t="s">
        <v>69</v>
      </c>
      <c r="C82" s="1" t="s">
        <v>319</v>
      </c>
      <c r="D82" s="10"/>
      <c r="E82" s="1" t="s">
        <v>214</v>
      </c>
      <c r="G82" s="1" t="s">
        <v>173</v>
      </c>
      <c r="I82" s="1" t="s">
        <v>133</v>
      </c>
      <c r="K82" s="7" t="str">
        <f t="shared" si="58"/>
        <v>ok</v>
      </c>
      <c r="V82" s="3" t="str">
        <f t="shared" si="60"/>
        <v>en_iocfg_dir__input</v>
      </c>
      <c r="W82" s="3" t="str">
        <f t="shared" si="47"/>
        <v>.flttype =0</v>
      </c>
      <c r="X82" s="3" t="str">
        <f t="shared" si="48"/>
        <v>.fltclk=0</v>
      </c>
      <c r="Y82" s="3" t="str">
        <f t="shared" si="49"/>
        <v>.invinp=0</v>
      </c>
      <c r="Z82" s="3" t="str">
        <f t="shared" si="50"/>
        <v>.iewo=0</v>
      </c>
      <c r="AA82" s="3" t="str">
        <f t="shared" si="51"/>
        <v>.opendrn=0</v>
      </c>
      <c r="AB82" s="3" t="str">
        <f t="shared" si="52"/>
        <v>.invout=0</v>
      </c>
      <c r="AC82" s="3" t="str">
        <f t="shared" si="53"/>
        <v>.plevel=0</v>
      </c>
      <c r="AD82" s="3" t="str">
        <f t="shared" si="54"/>
        <v>.pen=0</v>
      </c>
      <c r="AE82" s="3" t="str">
        <f t="shared" si="59"/>
        <v>.pwoa=0</v>
      </c>
      <c r="AF82" s="3" t="str">
        <f t="shared" si="55"/>
        <v>.funsel=0</v>
      </c>
      <c r="AG82" s="3" t="str">
        <f t="shared" si="56"/>
        <v>.iodis=0</v>
      </c>
      <c r="AJ82" t="s">
        <v>323</v>
      </c>
      <c r="AK82" s="14" t="s">
        <v>334</v>
      </c>
      <c r="AL82" t="str">
        <f t="shared" si="57"/>
        <v>{VOR_PORTC, 7,en_iocfg_dir__input, {{.fltclk=0,.invinp=0,.iewo=0,.opendrn=0,.invout=0,.plevel=0,.pen=0,.pwoa=0,.funsel=0,.iodis=0}}},</v>
      </c>
    </row>
    <row r="83" spans="1:38" x14ac:dyDescent="0.25">
      <c r="A83" s="10">
        <v>78</v>
      </c>
      <c r="B83" s="7" t="s">
        <v>68</v>
      </c>
      <c r="C83" s="1" t="s">
        <v>319</v>
      </c>
      <c r="D83" s="10"/>
      <c r="E83" s="1" t="s">
        <v>215</v>
      </c>
      <c r="G83" s="1" t="s">
        <v>133</v>
      </c>
      <c r="I83" s="1" t="s">
        <v>133</v>
      </c>
      <c r="K83" s="7" t="str">
        <f t="shared" si="58"/>
        <v>ok</v>
      </c>
      <c r="V83" s="3" t="str">
        <f t="shared" si="60"/>
        <v>en_iocfg_dir__input</v>
      </c>
      <c r="W83" s="3" t="str">
        <f t="shared" si="47"/>
        <v>.flttype =0</v>
      </c>
      <c r="X83" s="3" t="str">
        <f t="shared" si="48"/>
        <v>.fltclk=0</v>
      </c>
      <c r="Y83" s="3" t="str">
        <f t="shared" si="49"/>
        <v>.invinp=0</v>
      </c>
      <c r="Z83" s="3" t="str">
        <f t="shared" si="50"/>
        <v>.iewo=0</v>
      </c>
      <c r="AA83" s="3" t="str">
        <f t="shared" si="51"/>
        <v>.opendrn=0</v>
      </c>
      <c r="AB83" s="3" t="str">
        <f t="shared" si="52"/>
        <v>.invout=0</v>
      </c>
      <c r="AC83" s="3" t="str">
        <f t="shared" si="53"/>
        <v>.plevel=0</v>
      </c>
      <c r="AD83" s="3" t="str">
        <f t="shared" si="54"/>
        <v>.pen=0</v>
      </c>
      <c r="AE83" s="3" t="str">
        <f t="shared" si="59"/>
        <v>.pwoa=0</v>
      </c>
      <c r="AF83" s="3" t="str">
        <f t="shared" si="55"/>
        <v>.funsel=0</v>
      </c>
      <c r="AG83" s="3" t="str">
        <f t="shared" si="56"/>
        <v>.iodis=0</v>
      </c>
      <c r="AJ83" t="s">
        <v>323</v>
      </c>
      <c r="AK83" s="14" t="s">
        <v>335</v>
      </c>
      <c r="AL83" t="str">
        <f t="shared" si="57"/>
        <v>{VOR_PORTC, 6,en_iocfg_dir__input, {{.fltclk=0,.invinp=0,.iewo=0,.opendrn=0,.invout=0,.plevel=0,.pen=0,.pwoa=0,.funsel=0,.iodis=0}}},</v>
      </c>
    </row>
    <row r="84" spans="1:38" x14ac:dyDescent="0.25">
      <c r="A84" s="10">
        <v>79</v>
      </c>
      <c r="B84" s="7" t="s">
        <v>67</v>
      </c>
      <c r="C84" s="1" t="s">
        <v>319</v>
      </c>
      <c r="D84" s="10"/>
      <c r="E84" s="1" t="s">
        <v>216</v>
      </c>
      <c r="G84" s="1" t="s">
        <v>1</v>
      </c>
      <c r="I84" s="1" t="s">
        <v>133</v>
      </c>
      <c r="K84" s="7" t="str">
        <f t="shared" si="58"/>
        <v>ok</v>
      </c>
      <c r="V84" s="3" t="str">
        <f t="shared" si="60"/>
        <v>en_iocfg_dir__input</v>
      </c>
      <c r="W84" s="3" t="str">
        <f t="shared" si="47"/>
        <v>.flttype =0</v>
      </c>
      <c r="X84" s="3" t="str">
        <f t="shared" si="48"/>
        <v>.fltclk=0</v>
      </c>
      <c r="Y84" s="3" t="str">
        <f t="shared" si="49"/>
        <v>.invinp=0</v>
      </c>
      <c r="Z84" s="3" t="str">
        <f t="shared" si="50"/>
        <v>.iewo=0</v>
      </c>
      <c r="AA84" s="3" t="str">
        <f t="shared" si="51"/>
        <v>.opendrn=0</v>
      </c>
      <c r="AB84" s="3" t="str">
        <f t="shared" si="52"/>
        <v>.invout=0</v>
      </c>
      <c r="AC84" s="3" t="str">
        <f t="shared" si="53"/>
        <v>.plevel=0</v>
      </c>
      <c r="AD84" s="3" t="str">
        <f t="shared" si="54"/>
        <v>.pen=0</v>
      </c>
      <c r="AE84" s="3" t="str">
        <f t="shared" si="59"/>
        <v>.pwoa=0</v>
      </c>
      <c r="AF84" s="3" t="str">
        <f t="shared" si="55"/>
        <v>.funsel=0</v>
      </c>
      <c r="AG84" s="3" t="str">
        <f t="shared" si="56"/>
        <v>.iodis=0</v>
      </c>
      <c r="AJ84" t="s">
        <v>323</v>
      </c>
      <c r="AK84" s="14" t="s">
        <v>336</v>
      </c>
      <c r="AL84" t="str">
        <f t="shared" si="57"/>
        <v>{VOR_PORTC, 5,en_iocfg_dir__input, {{.fltclk=0,.invinp=0,.iewo=0,.opendrn=0,.invout=0,.plevel=0,.pen=0,.pwoa=0,.funsel=0,.iodis=0}}},</v>
      </c>
    </row>
    <row r="85" spans="1:38" x14ac:dyDescent="0.25">
      <c r="A85" s="10">
        <v>80</v>
      </c>
      <c r="B85" s="7" t="s">
        <v>142</v>
      </c>
      <c r="D85" s="10"/>
      <c r="E85" s="1" t="s">
        <v>137</v>
      </c>
      <c r="G85" s="1" t="s">
        <v>137</v>
      </c>
      <c r="I85" s="1" t="s">
        <v>137</v>
      </c>
      <c r="AJ85" t="s">
        <v>142</v>
      </c>
    </row>
    <row r="86" spans="1:38" x14ac:dyDescent="0.25">
      <c r="A86" s="10">
        <v>81</v>
      </c>
      <c r="B86" s="7" t="s">
        <v>143</v>
      </c>
      <c r="D86" s="10"/>
      <c r="E86" s="1" t="s">
        <v>137</v>
      </c>
      <c r="G86" s="1" t="s">
        <v>137</v>
      </c>
      <c r="I86" s="1" t="s">
        <v>137</v>
      </c>
      <c r="AJ86" t="s">
        <v>143</v>
      </c>
    </row>
    <row r="87" spans="1:38" x14ac:dyDescent="0.25">
      <c r="A87" s="10">
        <v>82</v>
      </c>
      <c r="B87" s="7" t="s">
        <v>144</v>
      </c>
      <c r="D87" s="10"/>
      <c r="E87" s="1" t="s">
        <v>137</v>
      </c>
      <c r="G87" s="1" t="s">
        <v>137</v>
      </c>
      <c r="I87" s="1" t="s">
        <v>137</v>
      </c>
      <c r="AJ87" t="s">
        <v>144</v>
      </c>
    </row>
    <row r="88" spans="1:38" x14ac:dyDescent="0.25">
      <c r="A88" s="10">
        <v>83</v>
      </c>
      <c r="B88" s="7" t="s">
        <v>66</v>
      </c>
      <c r="C88" s="1" t="s">
        <v>319</v>
      </c>
      <c r="D88" s="10"/>
      <c r="E88" s="1" t="s">
        <v>217</v>
      </c>
      <c r="G88" s="1" t="s">
        <v>0</v>
      </c>
      <c r="I88" s="1" t="s">
        <v>133</v>
      </c>
      <c r="K88" s="7" t="str">
        <f t="shared" si="58"/>
        <v>ok</v>
      </c>
      <c r="V88" s="3" t="str">
        <f t="shared" si="60"/>
        <v>en_iocfg_dir__input</v>
      </c>
      <c r="W88" s="3" t="str">
        <f t="shared" ref="W88:W91" si="62">IF(L88=0,".flttype =0",IF(L88=1,".flttype =1",IF(L88=2,".flttype =2",IF(L88=3,".flttype =3",IF(L88=4,".flttype =4",IF(L88=5,".flttype =5"))))))</f>
        <v>.flttype =0</v>
      </c>
      <c r="X88" s="3" t="str">
        <f t="shared" ref="X88:X91" si="63">IF(M88=0,".fltclk=0",IF(M88=1,".fltclk=1",IF(M88=2,".fltclk=2",IF(M88=3,".fltclk=3",IF(M88=4,".fltclk=4",IF(M88=5,".fltclk=5",".fltclk=6"))))))</f>
        <v>.fltclk=0</v>
      </c>
      <c r="Y88" s="3" t="str">
        <f t="shared" ref="Y88:Y91" si="64">IF(N88="Y",".invinp=1",".invinp=0")</f>
        <v>.invinp=0</v>
      </c>
      <c r="Z88" s="3" t="str">
        <f t="shared" ref="Z88:Z91" si="65">IF(O88="Y",".iewo=1",".iewo=0")</f>
        <v>.iewo=0</v>
      </c>
      <c r="AA88" s="3" t="str">
        <f t="shared" ref="AA88:AA91" si="66">IF(P88="Y",".opendrn=1",".opendrn=0")</f>
        <v>.opendrn=0</v>
      </c>
      <c r="AB88" s="3" t="str">
        <f t="shared" ref="AB88:AB91" si="67">IF(Q88="Y",".invout=1",".invout=0")</f>
        <v>.invout=0</v>
      </c>
      <c r="AC88" s="3" t="str">
        <f t="shared" ref="AC88:AC91" si="68">IF(R88="H",".plevel=1",".plevel=0")</f>
        <v>.plevel=0</v>
      </c>
      <c r="AD88" s="3" t="str">
        <f t="shared" ref="AD88:AD91" si="69">IF(S88="Y",".pen=1",".pen=0")</f>
        <v>.pen=0</v>
      </c>
      <c r="AE88" s="3" t="str">
        <f t="shared" si="59"/>
        <v>.pwoa=0</v>
      </c>
      <c r="AF88" s="3" t="str">
        <f t="shared" ref="AF88:AF91" si="70">IF(C88="Y",".funsel=0",IF(F88="Y",".funsel=1",IF(H88="Y",".funsel=2",IF(J88="Y",".funsel=3",".funsel=0")) ) )</f>
        <v>.funsel=0</v>
      </c>
      <c r="AG88" s="3" t="str">
        <f t="shared" ref="AG88:AG91" si="71">IF(U88="Y",".iodis=1",".iodis=0")</f>
        <v>.iodis=0</v>
      </c>
      <c r="AJ88" t="s">
        <v>323</v>
      </c>
      <c r="AK88" s="14" t="s">
        <v>337</v>
      </c>
      <c r="AL88" t="str">
        <f t="shared" ref="AL88:AL91" si="72">_xlfn.CONCAT("{VOR_",AJ88,",",AK88,",", V88,", {{",X88,",",Y88,",",Z88,",",AA88,",",AB88,",",AC88,",",AD88,",",AE88,",",AF88,",",AG88,"}}},")</f>
        <v>{VOR_PORTC, 4,en_iocfg_dir__input, {{.fltclk=0,.invinp=0,.iewo=0,.opendrn=0,.invout=0,.plevel=0,.pen=0,.pwoa=0,.funsel=0,.iodis=0}}},</v>
      </c>
    </row>
    <row r="89" spans="1:38" x14ac:dyDescent="0.25">
      <c r="A89" s="10">
        <v>84</v>
      </c>
      <c r="B89" s="7" t="s">
        <v>65</v>
      </c>
      <c r="C89" s="1" t="s">
        <v>319</v>
      </c>
      <c r="D89" s="10"/>
      <c r="E89" s="1" t="s">
        <v>218</v>
      </c>
      <c r="G89" s="1" t="s">
        <v>132</v>
      </c>
      <c r="I89" s="1" t="s">
        <v>133</v>
      </c>
      <c r="K89" s="7" t="str">
        <f t="shared" si="58"/>
        <v>ok</v>
      </c>
      <c r="V89" s="3" t="str">
        <f t="shared" si="60"/>
        <v>en_iocfg_dir__input</v>
      </c>
      <c r="W89" s="3" t="str">
        <f t="shared" si="62"/>
        <v>.flttype =0</v>
      </c>
      <c r="X89" s="3" t="str">
        <f t="shared" si="63"/>
        <v>.fltclk=0</v>
      </c>
      <c r="Y89" s="3" t="str">
        <f t="shared" si="64"/>
        <v>.invinp=0</v>
      </c>
      <c r="Z89" s="3" t="str">
        <f t="shared" si="65"/>
        <v>.iewo=0</v>
      </c>
      <c r="AA89" s="3" t="str">
        <f t="shared" si="66"/>
        <v>.opendrn=0</v>
      </c>
      <c r="AB89" s="3" t="str">
        <f t="shared" si="67"/>
        <v>.invout=0</v>
      </c>
      <c r="AC89" s="3" t="str">
        <f t="shared" si="68"/>
        <v>.plevel=0</v>
      </c>
      <c r="AD89" s="3" t="str">
        <f t="shared" si="69"/>
        <v>.pen=0</v>
      </c>
      <c r="AE89" s="3" t="str">
        <f t="shared" si="59"/>
        <v>.pwoa=0</v>
      </c>
      <c r="AF89" s="3" t="str">
        <f t="shared" si="70"/>
        <v>.funsel=0</v>
      </c>
      <c r="AG89" s="3" t="str">
        <f t="shared" si="71"/>
        <v>.iodis=0</v>
      </c>
      <c r="AJ89" t="s">
        <v>323</v>
      </c>
      <c r="AK89" s="14" t="s">
        <v>338</v>
      </c>
      <c r="AL89" t="str">
        <f t="shared" si="72"/>
        <v>{VOR_PORTC, 3,en_iocfg_dir__input, {{.fltclk=0,.invinp=0,.iewo=0,.opendrn=0,.invout=0,.plevel=0,.pen=0,.pwoa=0,.funsel=0,.iodis=0}}},</v>
      </c>
    </row>
    <row r="90" spans="1:38" x14ac:dyDescent="0.25">
      <c r="A90" s="10">
        <v>85</v>
      </c>
      <c r="B90" s="7" t="s">
        <v>64</v>
      </c>
      <c r="C90" s="1" t="s">
        <v>319</v>
      </c>
      <c r="D90" s="10"/>
      <c r="E90" s="1" t="s">
        <v>219</v>
      </c>
      <c r="G90" s="1" t="s">
        <v>134</v>
      </c>
      <c r="I90" s="1" t="s">
        <v>133</v>
      </c>
      <c r="K90" s="7" t="str">
        <f t="shared" si="58"/>
        <v>ok</v>
      </c>
      <c r="V90" s="3" t="str">
        <f t="shared" si="60"/>
        <v>en_iocfg_dir__input</v>
      </c>
      <c r="W90" s="3" t="str">
        <f t="shared" si="62"/>
        <v>.flttype =0</v>
      </c>
      <c r="X90" s="3" t="str">
        <f t="shared" si="63"/>
        <v>.fltclk=0</v>
      </c>
      <c r="Y90" s="3" t="str">
        <f t="shared" si="64"/>
        <v>.invinp=0</v>
      </c>
      <c r="Z90" s="3" t="str">
        <f t="shared" si="65"/>
        <v>.iewo=0</v>
      </c>
      <c r="AA90" s="3" t="str">
        <f t="shared" si="66"/>
        <v>.opendrn=0</v>
      </c>
      <c r="AB90" s="3" t="str">
        <f t="shared" si="67"/>
        <v>.invout=0</v>
      </c>
      <c r="AC90" s="3" t="str">
        <f t="shared" si="68"/>
        <v>.plevel=0</v>
      </c>
      <c r="AD90" s="3" t="str">
        <f t="shared" si="69"/>
        <v>.pen=0</v>
      </c>
      <c r="AE90" s="3" t="str">
        <f t="shared" si="59"/>
        <v>.pwoa=0</v>
      </c>
      <c r="AF90" s="3" t="str">
        <f t="shared" si="70"/>
        <v>.funsel=0</v>
      </c>
      <c r="AG90" s="3" t="str">
        <f t="shared" si="71"/>
        <v>.iodis=0</v>
      </c>
      <c r="AJ90" t="s">
        <v>323</v>
      </c>
      <c r="AK90" s="14" t="s">
        <v>339</v>
      </c>
      <c r="AL90" t="str">
        <f t="shared" si="72"/>
        <v>{VOR_PORTC, 2,en_iocfg_dir__input, {{.fltclk=0,.invinp=0,.iewo=0,.opendrn=0,.invout=0,.plevel=0,.pen=0,.pwoa=0,.funsel=0,.iodis=0}}},</v>
      </c>
    </row>
    <row r="91" spans="1:38" x14ac:dyDescent="0.25">
      <c r="A91" s="10">
        <v>86</v>
      </c>
      <c r="B91" s="7" t="s">
        <v>63</v>
      </c>
      <c r="C91" s="1" t="s">
        <v>319</v>
      </c>
      <c r="D91" s="10"/>
      <c r="E91" s="1" t="s">
        <v>220</v>
      </c>
      <c r="G91" s="1" t="s">
        <v>6</v>
      </c>
      <c r="I91" s="1" t="s">
        <v>133</v>
      </c>
      <c r="K91" s="7" t="str">
        <f t="shared" si="58"/>
        <v>ok</v>
      </c>
      <c r="V91" s="3" t="str">
        <f t="shared" si="60"/>
        <v>en_iocfg_dir__input</v>
      </c>
      <c r="W91" s="3" t="str">
        <f t="shared" si="62"/>
        <v>.flttype =0</v>
      </c>
      <c r="X91" s="3" t="str">
        <f t="shared" si="63"/>
        <v>.fltclk=0</v>
      </c>
      <c r="Y91" s="3" t="str">
        <f t="shared" si="64"/>
        <v>.invinp=0</v>
      </c>
      <c r="Z91" s="3" t="str">
        <f t="shared" si="65"/>
        <v>.iewo=0</v>
      </c>
      <c r="AA91" s="3" t="str">
        <f t="shared" si="66"/>
        <v>.opendrn=0</v>
      </c>
      <c r="AB91" s="3" t="str">
        <f t="shared" si="67"/>
        <v>.invout=0</v>
      </c>
      <c r="AC91" s="3" t="str">
        <f t="shared" si="68"/>
        <v>.plevel=0</v>
      </c>
      <c r="AD91" s="3" t="str">
        <f t="shared" si="69"/>
        <v>.pen=0</v>
      </c>
      <c r="AE91" s="3" t="str">
        <f t="shared" si="59"/>
        <v>.pwoa=0</v>
      </c>
      <c r="AF91" s="3" t="str">
        <f t="shared" si="70"/>
        <v>.funsel=0</v>
      </c>
      <c r="AG91" s="3" t="str">
        <f t="shared" si="71"/>
        <v>.iodis=0</v>
      </c>
      <c r="AJ91" t="s">
        <v>323</v>
      </c>
      <c r="AK91" s="14" t="s">
        <v>340</v>
      </c>
      <c r="AL91" t="str">
        <f t="shared" si="72"/>
        <v>{VOR_PORTC, 1,en_iocfg_dir__input, {{.fltclk=0,.invinp=0,.iewo=0,.opendrn=0,.invout=0,.plevel=0,.pen=0,.pwoa=0,.funsel=0,.iodis=0}}},</v>
      </c>
    </row>
    <row r="92" spans="1:38" x14ac:dyDescent="0.25">
      <c r="A92" s="10">
        <v>87</v>
      </c>
      <c r="B92" s="7" t="s">
        <v>221</v>
      </c>
      <c r="D92" s="10"/>
      <c r="E92" s="1" t="s">
        <v>137</v>
      </c>
      <c r="G92" s="1" t="s">
        <v>137</v>
      </c>
      <c r="I92" s="1" t="s">
        <v>137</v>
      </c>
      <c r="AJ92" t="s">
        <v>221</v>
      </c>
    </row>
    <row r="93" spans="1:38" x14ac:dyDescent="0.25">
      <c r="A93" s="10">
        <v>88</v>
      </c>
      <c r="B93" s="7" t="s">
        <v>222</v>
      </c>
      <c r="D93" s="10"/>
      <c r="E93" s="1" t="s">
        <v>137</v>
      </c>
      <c r="G93" s="1" t="s">
        <v>137</v>
      </c>
      <c r="I93" s="1" t="s">
        <v>137</v>
      </c>
      <c r="AJ93" t="s">
        <v>222</v>
      </c>
    </row>
    <row r="94" spans="1:38" x14ac:dyDescent="0.25">
      <c r="A94" s="10">
        <v>89</v>
      </c>
      <c r="B94" s="7" t="s">
        <v>223</v>
      </c>
      <c r="D94" s="10"/>
      <c r="E94" s="1" t="s">
        <v>137</v>
      </c>
      <c r="G94" s="1" t="s">
        <v>137</v>
      </c>
      <c r="I94" s="1" t="s">
        <v>137</v>
      </c>
      <c r="AJ94" t="s">
        <v>223</v>
      </c>
    </row>
    <row r="95" spans="1:38" x14ac:dyDescent="0.25">
      <c r="A95" s="10">
        <v>90</v>
      </c>
      <c r="B95" s="7" t="s">
        <v>224</v>
      </c>
      <c r="D95" s="10"/>
      <c r="E95" s="1" t="s">
        <v>137</v>
      </c>
      <c r="G95" s="1" t="s">
        <v>137</v>
      </c>
      <c r="I95" s="1" t="s">
        <v>137</v>
      </c>
      <c r="AJ95" t="s">
        <v>224</v>
      </c>
    </row>
    <row r="96" spans="1:38" x14ac:dyDescent="0.25">
      <c r="A96" s="10">
        <v>91</v>
      </c>
      <c r="B96" s="7" t="s">
        <v>225</v>
      </c>
      <c r="D96" s="10"/>
      <c r="E96" s="1" t="s">
        <v>137</v>
      </c>
      <c r="G96" s="1" t="s">
        <v>137</v>
      </c>
      <c r="I96" s="1" t="s">
        <v>137</v>
      </c>
      <c r="AJ96" t="s">
        <v>225</v>
      </c>
    </row>
    <row r="97" spans="1:38" x14ac:dyDescent="0.25">
      <c r="A97" s="10">
        <v>92</v>
      </c>
      <c r="B97" s="7" t="s">
        <v>226</v>
      </c>
      <c r="D97" s="10"/>
      <c r="E97" s="1" t="s">
        <v>137</v>
      </c>
      <c r="G97" s="1" t="s">
        <v>137</v>
      </c>
      <c r="I97" s="1" t="s">
        <v>137</v>
      </c>
      <c r="AJ97" t="s">
        <v>226</v>
      </c>
    </row>
    <row r="98" spans="1:38" x14ac:dyDescent="0.25">
      <c r="A98" s="10">
        <v>93</v>
      </c>
      <c r="B98" s="7" t="s">
        <v>62</v>
      </c>
      <c r="C98" s="1" t="s">
        <v>319</v>
      </c>
      <c r="D98" s="10"/>
      <c r="E98" s="1" t="s">
        <v>227</v>
      </c>
      <c r="G98" s="1" t="s">
        <v>7</v>
      </c>
      <c r="I98" s="1" t="s">
        <v>133</v>
      </c>
      <c r="K98" s="7" t="str">
        <f t="shared" si="58"/>
        <v>ok</v>
      </c>
      <c r="V98" s="3" t="str">
        <f t="shared" si="60"/>
        <v>en_iocfg_dir__input</v>
      </c>
      <c r="W98" s="3" t="str">
        <f t="shared" ref="W98:W104" si="73">IF(L98=0,".flttype =0",IF(L98=1,".flttype =1",IF(L98=2,".flttype =2",IF(L98=3,".flttype =3",IF(L98=4,".flttype =4",IF(L98=5,".flttype =5"))))))</f>
        <v>.flttype =0</v>
      </c>
      <c r="X98" s="3" t="str">
        <f t="shared" ref="X98:X104" si="74">IF(M98=0,".fltclk=0",IF(M98=1,".fltclk=1",IF(M98=2,".fltclk=2",IF(M98=3,".fltclk=3",IF(M98=4,".fltclk=4",IF(M98=5,".fltclk=5",".fltclk=6"))))))</f>
        <v>.fltclk=0</v>
      </c>
      <c r="Y98" s="3" t="str">
        <f t="shared" ref="Y98:Y104" si="75">IF(N98="Y",".invinp=1",".invinp=0")</f>
        <v>.invinp=0</v>
      </c>
      <c r="Z98" s="3" t="str">
        <f t="shared" ref="Z98:Z104" si="76">IF(O98="Y",".iewo=1",".iewo=0")</f>
        <v>.iewo=0</v>
      </c>
      <c r="AA98" s="3" t="str">
        <f t="shared" ref="AA98:AA104" si="77">IF(P98="Y",".opendrn=1",".opendrn=0")</f>
        <v>.opendrn=0</v>
      </c>
      <c r="AB98" s="3" t="str">
        <f t="shared" ref="AB98:AB104" si="78">IF(Q98="Y",".invout=1",".invout=0")</f>
        <v>.invout=0</v>
      </c>
      <c r="AC98" s="3" t="str">
        <f t="shared" ref="AC98:AC104" si="79">IF(R98="H",".plevel=1",".plevel=0")</f>
        <v>.plevel=0</v>
      </c>
      <c r="AD98" s="3" t="str">
        <f t="shared" ref="AD98:AD104" si="80">IF(S98="Y",".pen=1",".pen=0")</f>
        <v>.pen=0</v>
      </c>
      <c r="AE98" s="3" t="str">
        <f t="shared" si="59"/>
        <v>.pwoa=0</v>
      </c>
      <c r="AF98" s="3" t="str">
        <f t="shared" ref="AF98:AF104" si="81">IF(C98="Y",".funsel=0",IF(F98="Y",".funsel=1",IF(H98="Y",".funsel=2",IF(J98="Y",".funsel=3",".funsel=0")) ) )</f>
        <v>.funsel=0</v>
      </c>
      <c r="AG98" s="3" t="str">
        <f t="shared" ref="AG98:AG104" si="82">IF(U98="Y",".iodis=1",".iodis=0")</f>
        <v>.iodis=0</v>
      </c>
      <c r="AJ98" t="s">
        <v>323</v>
      </c>
      <c r="AK98" s="14" t="s">
        <v>341</v>
      </c>
      <c r="AL98" t="str">
        <f t="shared" ref="AL98:AL104" si="83">_xlfn.CONCAT("{VOR_",AJ98,",",AK98,",", V98,", {{",X98,",",Y98,",",Z98,",",AA98,",",AB98,",",AC98,",",AD98,",",AE98,",",AF98,",",AG98,"}}},")</f>
        <v>{VOR_PORTC, 0,en_iocfg_dir__input, {{.fltclk=0,.invinp=0,.iewo=0,.opendrn=0,.invout=0,.plevel=0,.pen=0,.pwoa=0,.funsel=0,.iodis=0}}},</v>
      </c>
    </row>
    <row r="99" spans="1:38" x14ac:dyDescent="0.25">
      <c r="A99" s="10">
        <v>94</v>
      </c>
      <c r="B99" s="7" t="s">
        <v>61</v>
      </c>
      <c r="D99" s="10"/>
      <c r="E99" s="1" t="s">
        <v>228</v>
      </c>
      <c r="G99" s="1" t="s">
        <v>8</v>
      </c>
      <c r="I99" s="1" t="s">
        <v>3</v>
      </c>
      <c r="J99" s="1" t="s">
        <v>319</v>
      </c>
      <c r="K99" s="7" t="str">
        <f t="shared" si="58"/>
        <v>ok</v>
      </c>
      <c r="V99" s="3" t="str">
        <f t="shared" si="60"/>
        <v>en_iocfg_dir_dncare</v>
      </c>
      <c r="W99" s="3" t="str">
        <f t="shared" si="73"/>
        <v>.flttype =0</v>
      </c>
      <c r="X99" s="3" t="str">
        <f t="shared" si="74"/>
        <v>.fltclk=0</v>
      </c>
      <c r="Y99" s="3" t="str">
        <f t="shared" si="75"/>
        <v>.invinp=0</v>
      </c>
      <c r="Z99" s="3" t="str">
        <f t="shared" si="76"/>
        <v>.iewo=0</v>
      </c>
      <c r="AA99" s="3" t="str">
        <f t="shared" si="77"/>
        <v>.opendrn=0</v>
      </c>
      <c r="AB99" s="3" t="str">
        <f t="shared" si="78"/>
        <v>.invout=0</v>
      </c>
      <c r="AC99" s="3" t="str">
        <f t="shared" si="79"/>
        <v>.plevel=0</v>
      </c>
      <c r="AD99" s="3" t="str">
        <f t="shared" si="80"/>
        <v>.pen=0</v>
      </c>
      <c r="AE99" s="3" t="str">
        <f t="shared" si="59"/>
        <v>.pwoa=0</v>
      </c>
      <c r="AF99" s="3" t="str">
        <f t="shared" si="81"/>
        <v>.funsel=3</v>
      </c>
      <c r="AG99" s="3" t="str">
        <f t="shared" si="82"/>
        <v>.iodis=0</v>
      </c>
      <c r="AJ99" t="s">
        <v>324</v>
      </c>
      <c r="AK99" s="14">
        <v>15</v>
      </c>
      <c r="AL99" t="str">
        <f t="shared" si="83"/>
        <v>{VOR_PORTB,15,en_iocfg_dir_dncare, {{.fltclk=0,.invinp=0,.iewo=0,.opendrn=0,.invout=0,.plevel=0,.pen=0,.pwoa=0,.funsel=3,.iodis=0}}},</v>
      </c>
    </row>
    <row r="100" spans="1:38" x14ac:dyDescent="0.25">
      <c r="A100" s="10">
        <v>95</v>
      </c>
      <c r="B100" s="7" t="s">
        <v>60</v>
      </c>
      <c r="D100" s="10"/>
      <c r="E100" s="1" t="s">
        <v>229</v>
      </c>
      <c r="G100" s="1" t="s">
        <v>9</v>
      </c>
      <c r="I100" s="1" t="s">
        <v>2</v>
      </c>
      <c r="J100" s="1" t="s">
        <v>319</v>
      </c>
      <c r="K100" s="7" t="str">
        <f t="shared" si="58"/>
        <v>ok</v>
      </c>
      <c r="V100" s="3" t="str">
        <f t="shared" si="60"/>
        <v>en_iocfg_dir_dncare</v>
      </c>
      <c r="W100" s="3" t="str">
        <f t="shared" si="73"/>
        <v>.flttype =0</v>
      </c>
      <c r="X100" s="3" t="str">
        <f t="shared" si="74"/>
        <v>.fltclk=0</v>
      </c>
      <c r="Y100" s="3" t="str">
        <f t="shared" si="75"/>
        <v>.invinp=0</v>
      </c>
      <c r="Z100" s="3" t="str">
        <f t="shared" si="76"/>
        <v>.iewo=0</v>
      </c>
      <c r="AA100" s="3" t="str">
        <f t="shared" si="77"/>
        <v>.opendrn=0</v>
      </c>
      <c r="AB100" s="3" t="str">
        <f t="shared" si="78"/>
        <v>.invout=0</v>
      </c>
      <c r="AC100" s="3" t="str">
        <f t="shared" si="79"/>
        <v>.plevel=0</v>
      </c>
      <c r="AD100" s="3" t="str">
        <f t="shared" si="80"/>
        <v>.pen=0</v>
      </c>
      <c r="AE100" s="3" t="str">
        <f t="shared" si="59"/>
        <v>.pwoa=0</v>
      </c>
      <c r="AF100" s="3" t="str">
        <f t="shared" si="81"/>
        <v>.funsel=3</v>
      </c>
      <c r="AG100" s="3" t="str">
        <f t="shared" si="82"/>
        <v>.iodis=0</v>
      </c>
      <c r="AJ100" t="s">
        <v>324</v>
      </c>
      <c r="AK100" s="14">
        <v>14</v>
      </c>
      <c r="AL100" t="str">
        <f t="shared" si="83"/>
        <v>{VOR_PORTB,14,en_iocfg_dir_dncare, {{.fltclk=0,.invinp=0,.iewo=0,.opendrn=0,.invout=0,.plevel=0,.pen=0,.pwoa=0,.funsel=3,.iodis=0}}},</v>
      </c>
    </row>
    <row r="101" spans="1:38" x14ac:dyDescent="0.25">
      <c r="A101" s="10">
        <v>96</v>
      </c>
      <c r="B101" s="7" t="s">
        <v>59</v>
      </c>
      <c r="D101" s="10"/>
      <c r="E101" s="1" t="s">
        <v>230</v>
      </c>
      <c r="G101" s="1" t="s">
        <v>10</v>
      </c>
      <c r="I101" s="1" t="s">
        <v>135</v>
      </c>
      <c r="J101" s="1" t="s">
        <v>319</v>
      </c>
      <c r="K101" s="7" t="str">
        <f t="shared" si="58"/>
        <v>ok</v>
      </c>
      <c r="V101" s="3" t="str">
        <f t="shared" si="60"/>
        <v>en_iocfg_dir_dncare</v>
      </c>
      <c r="W101" s="3" t="str">
        <f t="shared" si="73"/>
        <v>.flttype =0</v>
      </c>
      <c r="X101" s="3" t="str">
        <f t="shared" si="74"/>
        <v>.fltclk=0</v>
      </c>
      <c r="Y101" s="3" t="str">
        <f t="shared" si="75"/>
        <v>.invinp=0</v>
      </c>
      <c r="Z101" s="3" t="str">
        <f t="shared" si="76"/>
        <v>.iewo=0</v>
      </c>
      <c r="AA101" s="3" t="str">
        <f t="shared" si="77"/>
        <v>.opendrn=0</v>
      </c>
      <c r="AB101" s="3" t="str">
        <f t="shared" si="78"/>
        <v>.invout=0</v>
      </c>
      <c r="AC101" s="3" t="str">
        <f t="shared" si="79"/>
        <v>.plevel=0</v>
      </c>
      <c r="AD101" s="3" t="str">
        <f t="shared" si="80"/>
        <v>.pen=0</v>
      </c>
      <c r="AE101" s="3" t="str">
        <f t="shared" si="59"/>
        <v>.pwoa=0</v>
      </c>
      <c r="AF101" s="3" t="str">
        <f t="shared" si="81"/>
        <v>.funsel=3</v>
      </c>
      <c r="AG101" s="3" t="str">
        <f t="shared" si="82"/>
        <v>.iodis=0</v>
      </c>
      <c r="AJ101" t="s">
        <v>324</v>
      </c>
      <c r="AK101" s="14">
        <v>13</v>
      </c>
      <c r="AL101" t="str">
        <f t="shared" si="83"/>
        <v>{VOR_PORTB,13,en_iocfg_dir_dncare, {{.fltclk=0,.invinp=0,.iewo=0,.opendrn=0,.invout=0,.plevel=0,.pen=0,.pwoa=0,.funsel=3,.iodis=0}}},</v>
      </c>
    </row>
    <row r="102" spans="1:38" x14ac:dyDescent="0.25">
      <c r="A102" s="10">
        <v>97</v>
      </c>
      <c r="B102" s="7" t="s">
        <v>58</v>
      </c>
      <c r="D102" s="10"/>
      <c r="E102" s="1" t="s">
        <v>231</v>
      </c>
      <c r="G102" s="1" t="s">
        <v>11</v>
      </c>
      <c r="I102" s="1" t="s">
        <v>145</v>
      </c>
      <c r="J102" s="1" t="s">
        <v>319</v>
      </c>
      <c r="K102" s="7" t="str">
        <f t="shared" si="58"/>
        <v>ok</v>
      </c>
      <c r="V102" s="3" t="str">
        <f t="shared" si="60"/>
        <v>en_iocfg_dir_dncare</v>
      </c>
      <c r="W102" s="3" t="str">
        <f t="shared" si="73"/>
        <v>.flttype =0</v>
      </c>
      <c r="X102" s="3" t="str">
        <f t="shared" si="74"/>
        <v>.fltclk=0</v>
      </c>
      <c r="Y102" s="3" t="str">
        <f t="shared" si="75"/>
        <v>.invinp=0</v>
      </c>
      <c r="Z102" s="3" t="str">
        <f t="shared" si="76"/>
        <v>.iewo=0</v>
      </c>
      <c r="AA102" s="3" t="str">
        <f t="shared" si="77"/>
        <v>.opendrn=0</v>
      </c>
      <c r="AB102" s="3" t="str">
        <f t="shared" si="78"/>
        <v>.invout=0</v>
      </c>
      <c r="AC102" s="3" t="str">
        <f t="shared" si="79"/>
        <v>.plevel=0</v>
      </c>
      <c r="AD102" s="3" t="str">
        <f t="shared" si="80"/>
        <v>.pen=0</v>
      </c>
      <c r="AE102" s="3" t="str">
        <f t="shared" si="59"/>
        <v>.pwoa=0</v>
      </c>
      <c r="AF102" s="3" t="str">
        <f t="shared" si="81"/>
        <v>.funsel=3</v>
      </c>
      <c r="AG102" s="3" t="str">
        <f t="shared" si="82"/>
        <v>.iodis=0</v>
      </c>
      <c r="AJ102" t="s">
        <v>324</v>
      </c>
      <c r="AK102" s="14">
        <v>12</v>
      </c>
      <c r="AL102" t="str">
        <f t="shared" si="83"/>
        <v>{VOR_PORTB,12,en_iocfg_dir_dncare, {{.fltclk=0,.invinp=0,.iewo=0,.opendrn=0,.invout=0,.plevel=0,.pen=0,.pwoa=0,.funsel=3,.iodis=0}}},</v>
      </c>
    </row>
    <row r="103" spans="1:38" x14ac:dyDescent="0.25">
      <c r="A103" s="10">
        <v>98</v>
      </c>
      <c r="B103" s="7" t="s">
        <v>57</v>
      </c>
      <c r="C103" s="1" t="s">
        <v>319</v>
      </c>
      <c r="D103" s="10"/>
      <c r="E103" s="1" t="s">
        <v>232</v>
      </c>
      <c r="G103" s="1" t="s">
        <v>12</v>
      </c>
      <c r="I103" s="1" t="s">
        <v>133</v>
      </c>
      <c r="K103" s="7" t="str">
        <f t="shared" si="58"/>
        <v>ok</v>
      </c>
      <c r="V103" s="3" t="str">
        <f t="shared" si="60"/>
        <v>en_iocfg_dir__input</v>
      </c>
      <c r="W103" s="3" t="str">
        <f t="shared" si="73"/>
        <v>.flttype =0</v>
      </c>
      <c r="X103" s="3" t="str">
        <f t="shared" si="74"/>
        <v>.fltclk=0</v>
      </c>
      <c r="Y103" s="3" t="str">
        <f t="shared" si="75"/>
        <v>.invinp=0</v>
      </c>
      <c r="Z103" s="3" t="str">
        <f t="shared" si="76"/>
        <v>.iewo=0</v>
      </c>
      <c r="AA103" s="3" t="str">
        <f t="shared" si="77"/>
        <v>.opendrn=0</v>
      </c>
      <c r="AB103" s="3" t="str">
        <f t="shared" si="78"/>
        <v>.invout=0</v>
      </c>
      <c r="AC103" s="3" t="str">
        <f t="shared" si="79"/>
        <v>.plevel=0</v>
      </c>
      <c r="AD103" s="3" t="str">
        <f t="shared" si="80"/>
        <v>.pen=0</v>
      </c>
      <c r="AE103" s="3" t="str">
        <f t="shared" si="59"/>
        <v>.pwoa=0</v>
      </c>
      <c r="AF103" s="3" t="str">
        <f t="shared" si="81"/>
        <v>.funsel=0</v>
      </c>
      <c r="AG103" s="3" t="str">
        <f t="shared" si="82"/>
        <v>.iodis=0</v>
      </c>
      <c r="AJ103" t="s">
        <v>324</v>
      </c>
      <c r="AK103" s="14">
        <v>11</v>
      </c>
      <c r="AL103" t="str">
        <f t="shared" si="83"/>
        <v>{VOR_PORTB,11,en_iocfg_dir__input, {{.fltclk=0,.invinp=0,.iewo=0,.opendrn=0,.invout=0,.plevel=0,.pen=0,.pwoa=0,.funsel=0,.iodis=0}}},</v>
      </c>
    </row>
    <row r="104" spans="1:38" x14ac:dyDescent="0.25">
      <c r="A104" s="10">
        <v>99</v>
      </c>
      <c r="B104" s="7" t="s">
        <v>56</v>
      </c>
      <c r="C104" s="1" t="s">
        <v>319</v>
      </c>
      <c r="D104" s="10"/>
      <c r="E104" s="1" t="s">
        <v>233</v>
      </c>
      <c r="G104" s="1" t="s">
        <v>13</v>
      </c>
      <c r="I104" s="1" t="s">
        <v>150</v>
      </c>
      <c r="K104" s="7" t="str">
        <f t="shared" si="58"/>
        <v>ok</v>
      </c>
      <c r="V104" s="3" t="str">
        <f t="shared" si="60"/>
        <v>en_iocfg_dir__input</v>
      </c>
      <c r="W104" s="3" t="str">
        <f t="shared" si="73"/>
        <v>.flttype =0</v>
      </c>
      <c r="X104" s="3" t="str">
        <f t="shared" si="74"/>
        <v>.fltclk=0</v>
      </c>
      <c r="Y104" s="3" t="str">
        <f t="shared" si="75"/>
        <v>.invinp=0</v>
      </c>
      <c r="Z104" s="3" t="str">
        <f t="shared" si="76"/>
        <v>.iewo=0</v>
      </c>
      <c r="AA104" s="3" t="str">
        <f t="shared" si="77"/>
        <v>.opendrn=0</v>
      </c>
      <c r="AB104" s="3" t="str">
        <f t="shared" si="78"/>
        <v>.invout=0</v>
      </c>
      <c r="AC104" s="3" t="str">
        <f t="shared" si="79"/>
        <v>.plevel=0</v>
      </c>
      <c r="AD104" s="3" t="str">
        <f t="shared" si="80"/>
        <v>.pen=0</v>
      </c>
      <c r="AE104" s="3" t="str">
        <f t="shared" si="59"/>
        <v>.pwoa=0</v>
      </c>
      <c r="AF104" s="3" t="str">
        <f t="shared" si="81"/>
        <v>.funsel=0</v>
      </c>
      <c r="AG104" s="3" t="str">
        <f t="shared" si="82"/>
        <v>.iodis=0</v>
      </c>
      <c r="AJ104" t="s">
        <v>324</v>
      </c>
      <c r="AK104" s="14">
        <v>10</v>
      </c>
      <c r="AL104" t="str">
        <f t="shared" si="83"/>
        <v>{VOR_PORTB,10,en_iocfg_dir__input, {{.fltclk=0,.invinp=0,.iewo=0,.opendrn=0,.invout=0,.plevel=0,.pen=0,.pwoa=0,.funsel=0,.iodis=0}}},</v>
      </c>
    </row>
    <row r="105" spans="1:38" x14ac:dyDescent="0.25">
      <c r="A105" s="10">
        <v>100</v>
      </c>
      <c r="B105" s="7" t="s">
        <v>143</v>
      </c>
      <c r="D105" s="10"/>
      <c r="E105" s="1" t="s">
        <v>137</v>
      </c>
      <c r="G105" s="1" t="s">
        <v>137</v>
      </c>
      <c r="I105" s="1" t="s">
        <v>137</v>
      </c>
      <c r="AJ105" t="s">
        <v>143</v>
      </c>
    </row>
    <row r="106" spans="1:38" x14ac:dyDescent="0.25">
      <c r="A106" s="10">
        <v>101</v>
      </c>
      <c r="B106" s="7" t="s">
        <v>142</v>
      </c>
      <c r="D106" s="10"/>
      <c r="E106" s="1" t="s">
        <v>137</v>
      </c>
      <c r="G106" s="1" t="s">
        <v>137</v>
      </c>
      <c r="I106" s="1" t="s">
        <v>137</v>
      </c>
      <c r="AJ106" t="s">
        <v>142</v>
      </c>
    </row>
    <row r="107" spans="1:38" x14ac:dyDescent="0.25">
      <c r="A107" s="10">
        <v>102</v>
      </c>
      <c r="B107" s="7" t="s">
        <v>55</v>
      </c>
      <c r="C107" s="1" t="s">
        <v>319</v>
      </c>
      <c r="D107" s="10"/>
      <c r="E107" s="12" t="s">
        <v>234</v>
      </c>
      <c r="G107" s="1" t="s">
        <v>14</v>
      </c>
      <c r="I107" s="1" t="s">
        <v>152</v>
      </c>
      <c r="K107" s="7" t="str">
        <f t="shared" si="58"/>
        <v>ok</v>
      </c>
      <c r="V107" s="3" t="str">
        <f t="shared" si="60"/>
        <v>en_iocfg_dir__input</v>
      </c>
      <c r="W107" s="3" t="str">
        <f t="shared" ref="W107:W124" si="84">IF(L107=0,".flttype =0",IF(L107=1,".flttype =1",IF(L107=2,".flttype =2",IF(L107=3,".flttype =3",IF(L107=4,".flttype =4",IF(L107=5,".flttype =5"))))))</f>
        <v>.flttype =0</v>
      </c>
      <c r="X107" s="3" t="str">
        <f t="shared" ref="X107:X124" si="85">IF(M107=0,".fltclk=0",IF(M107=1,".fltclk=1",IF(M107=2,".fltclk=2",IF(M107=3,".fltclk=3",IF(M107=4,".fltclk=4",IF(M107=5,".fltclk=5",".fltclk=6"))))))</f>
        <v>.fltclk=0</v>
      </c>
      <c r="Y107" s="3" t="str">
        <f t="shared" ref="Y107:Y124" si="86">IF(N107="Y",".invinp=1",".invinp=0")</f>
        <v>.invinp=0</v>
      </c>
      <c r="Z107" s="3" t="str">
        <f t="shared" ref="Z107:Z124" si="87">IF(O107="Y",".iewo=1",".iewo=0")</f>
        <v>.iewo=0</v>
      </c>
      <c r="AA107" s="3" t="str">
        <f t="shared" ref="AA107:AA124" si="88">IF(P107="Y",".opendrn=1",".opendrn=0")</f>
        <v>.opendrn=0</v>
      </c>
      <c r="AB107" s="3" t="str">
        <f t="shared" ref="AB107:AB124" si="89">IF(Q107="Y",".invout=1",".invout=0")</f>
        <v>.invout=0</v>
      </c>
      <c r="AC107" s="3" t="str">
        <f t="shared" ref="AC107:AC124" si="90">IF(R107="H",".plevel=1",".plevel=0")</f>
        <v>.plevel=0</v>
      </c>
      <c r="AD107" s="3" t="str">
        <f t="shared" ref="AD107:AD124" si="91">IF(S107="Y",".pen=1",".pen=0")</f>
        <v>.pen=0</v>
      </c>
      <c r="AE107" s="3" t="str">
        <f t="shared" si="59"/>
        <v>.pwoa=0</v>
      </c>
      <c r="AF107" s="3" t="str">
        <f t="shared" ref="AF107:AF124" si="92">IF(C107="Y",".funsel=0",IF(F107="Y",".funsel=1",IF(H107="Y",".funsel=2",IF(J107="Y",".funsel=3",".funsel=0")) ) )</f>
        <v>.funsel=0</v>
      </c>
      <c r="AG107" s="3" t="str">
        <f t="shared" ref="AG107:AG124" si="93">IF(U107="Y",".iodis=1",".iodis=0")</f>
        <v>.iodis=0</v>
      </c>
      <c r="AJ107" t="s">
        <v>324</v>
      </c>
      <c r="AK107" s="14" t="s">
        <v>332</v>
      </c>
      <c r="AL107" t="str">
        <f t="shared" ref="AL107:AL124" si="94">_xlfn.CONCAT("{VOR_",AJ107,",",AK107,",", V107,", {{",X107,",",Y107,",",Z107,",",AA107,",",AB107,",",AC107,",",AD107,",",AE107,",",AF107,",",AG107,"}}},")</f>
        <v>{VOR_PORTB, 9,en_iocfg_dir__input, {{.fltclk=0,.invinp=0,.iewo=0,.opendrn=0,.invout=0,.plevel=0,.pen=0,.pwoa=0,.funsel=0,.iodis=0}}},</v>
      </c>
    </row>
    <row r="108" spans="1:38" x14ac:dyDescent="0.25">
      <c r="A108" s="10">
        <v>103</v>
      </c>
      <c r="B108" s="7" t="s">
        <v>54</v>
      </c>
      <c r="C108" s="1" t="s">
        <v>319</v>
      </c>
      <c r="D108" s="10"/>
      <c r="E108" s="12" t="s">
        <v>235</v>
      </c>
      <c r="G108" s="1" t="s">
        <v>15</v>
      </c>
      <c r="I108" s="1" t="s">
        <v>154</v>
      </c>
      <c r="K108" s="7" t="str">
        <f t="shared" si="58"/>
        <v>ok</v>
      </c>
      <c r="V108" s="3" t="str">
        <f t="shared" si="60"/>
        <v>en_iocfg_dir__input</v>
      </c>
      <c r="W108" s="3" t="str">
        <f t="shared" si="84"/>
        <v>.flttype =0</v>
      </c>
      <c r="X108" s="3" t="str">
        <f t="shared" si="85"/>
        <v>.fltclk=0</v>
      </c>
      <c r="Y108" s="3" t="str">
        <f t="shared" si="86"/>
        <v>.invinp=0</v>
      </c>
      <c r="Z108" s="3" t="str">
        <f t="shared" si="87"/>
        <v>.iewo=0</v>
      </c>
      <c r="AA108" s="3" t="str">
        <f t="shared" si="88"/>
        <v>.opendrn=0</v>
      </c>
      <c r="AB108" s="3" t="str">
        <f t="shared" si="89"/>
        <v>.invout=0</v>
      </c>
      <c r="AC108" s="3" t="str">
        <f t="shared" si="90"/>
        <v>.plevel=0</v>
      </c>
      <c r="AD108" s="3" t="str">
        <f t="shared" si="91"/>
        <v>.pen=0</v>
      </c>
      <c r="AE108" s="3" t="str">
        <f t="shared" si="59"/>
        <v>.pwoa=0</v>
      </c>
      <c r="AF108" s="3" t="str">
        <f t="shared" si="92"/>
        <v>.funsel=0</v>
      </c>
      <c r="AG108" s="3" t="str">
        <f t="shared" si="93"/>
        <v>.iodis=0</v>
      </c>
      <c r="AJ108" t="s">
        <v>324</v>
      </c>
      <c r="AK108" s="14" t="s">
        <v>333</v>
      </c>
      <c r="AL108" t="str">
        <f t="shared" si="94"/>
        <v>{VOR_PORTB, 8,en_iocfg_dir__input, {{.fltclk=0,.invinp=0,.iewo=0,.opendrn=0,.invout=0,.plevel=0,.pen=0,.pwoa=0,.funsel=0,.iodis=0}}},</v>
      </c>
    </row>
    <row r="109" spans="1:38" x14ac:dyDescent="0.25">
      <c r="A109" s="10">
        <v>104</v>
      </c>
      <c r="B109" s="7" t="s">
        <v>53</v>
      </c>
      <c r="C109" s="1" t="s">
        <v>319</v>
      </c>
      <c r="D109" s="10"/>
      <c r="E109" s="12" t="s">
        <v>236</v>
      </c>
      <c r="G109" s="1" t="s">
        <v>16</v>
      </c>
      <c r="I109" s="1" t="s">
        <v>160</v>
      </c>
      <c r="K109" s="7" t="str">
        <f t="shared" si="58"/>
        <v>ok</v>
      </c>
      <c r="V109" s="3" t="str">
        <f t="shared" si="60"/>
        <v>en_iocfg_dir__input</v>
      </c>
      <c r="W109" s="3" t="str">
        <f t="shared" si="84"/>
        <v>.flttype =0</v>
      </c>
      <c r="X109" s="3" t="str">
        <f t="shared" si="85"/>
        <v>.fltclk=0</v>
      </c>
      <c r="Y109" s="3" t="str">
        <f t="shared" si="86"/>
        <v>.invinp=0</v>
      </c>
      <c r="Z109" s="3" t="str">
        <f t="shared" si="87"/>
        <v>.iewo=0</v>
      </c>
      <c r="AA109" s="3" t="str">
        <f t="shared" si="88"/>
        <v>.opendrn=0</v>
      </c>
      <c r="AB109" s="3" t="str">
        <f t="shared" si="89"/>
        <v>.invout=0</v>
      </c>
      <c r="AC109" s="3" t="str">
        <f t="shared" si="90"/>
        <v>.plevel=0</v>
      </c>
      <c r="AD109" s="3" t="str">
        <f t="shared" si="91"/>
        <v>.pen=0</v>
      </c>
      <c r="AE109" s="3" t="str">
        <f t="shared" si="59"/>
        <v>.pwoa=0</v>
      </c>
      <c r="AF109" s="3" t="str">
        <f t="shared" si="92"/>
        <v>.funsel=0</v>
      </c>
      <c r="AG109" s="3" t="str">
        <f t="shared" si="93"/>
        <v>.iodis=0</v>
      </c>
      <c r="AJ109" t="s">
        <v>324</v>
      </c>
      <c r="AK109" s="14" t="s">
        <v>334</v>
      </c>
      <c r="AL109" t="str">
        <f t="shared" si="94"/>
        <v>{VOR_PORTB, 7,en_iocfg_dir__input, {{.fltclk=0,.invinp=0,.iewo=0,.opendrn=0,.invout=0,.plevel=0,.pen=0,.pwoa=0,.funsel=0,.iodis=0}}},</v>
      </c>
    </row>
    <row r="110" spans="1:38" x14ac:dyDescent="0.25">
      <c r="A110" s="10">
        <v>105</v>
      </c>
      <c r="B110" s="7" t="s">
        <v>52</v>
      </c>
      <c r="C110" s="1" t="s">
        <v>319</v>
      </c>
      <c r="D110" s="10"/>
      <c r="E110" s="12" t="s">
        <v>237</v>
      </c>
      <c r="G110" s="1" t="s">
        <v>17</v>
      </c>
      <c r="I110" s="1" t="s">
        <v>173</v>
      </c>
      <c r="K110" s="7" t="str">
        <f t="shared" si="58"/>
        <v>ok</v>
      </c>
      <c r="V110" s="3" t="str">
        <f t="shared" si="60"/>
        <v>en_iocfg_dir__input</v>
      </c>
      <c r="W110" s="3" t="str">
        <f t="shared" si="84"/>
        <v>.flttype =0</v>
      </c>
      <c r="X110" s="3" t="str">
        <f t="shared" si="85"/>
        <v>.fltclk=0</v>
      </c>
      <c r="Y110" s="3" t="str">
        <f t="shared" si="86"/>
        <v>.invinp=0</v>
      </c>
      <c r="Z110" s="3" t="str">
        <f t="shared" si="87"/>
        <v>.iewo=0</v>
      </c>
      <c r="AA110" s="3" t="str">
        <f t="shared" si="88"/>
        <v>.opendrn=0</v>
      </c>
      <c r="AB110" s="3" t="str">
        <f t="shared" si="89"/>
        <v>.invout=0</v>
      </c>
      <c r="AC110" s="3" t="str">
        <f t="shared" si="90"/>
        <v>.plevel=0</v>
      </c>
      <c r="AD110" s="3" t="str">
        <f t="shared" si="91"/>
        <v>.pen=0</v>
      </c>
      <c r="AE110" s="3" t="str">
        <f t="shared" si="59"/>
        <v>.pwoa=0</v>
      </c>
      <c r="AF110" s="3" t="str">
        <f t="shared" si="92"/>
        <v>.funsel=0</v>
      </c>
      <c r="AG110" s="3" t="str">
        <f t="shared" si="93"/>
        <v>.iodis=0</v>
      </c>
      <c r="AJ110" t="s">
        <v>324</v>
      </c>
      <c r="AK110" s="14" t="s">
        <v>335</v>
      </c>
      <c r="AL110" t="str">
        <f t="shared" si="94"/>
        <v>{VOR_PORTB, 6,en_iocfg_dir__input, {{.fltclk=0,.invinp=0,.iewo=0,.opendrn=0,.invout=0,.plevel=0,.pen=0,.pwoa=0,.funsel=0,.iodis=0}}},</v>
      </c>
    </row>
    <row r="111" spans="1:38" x14ac:dyDescent="0.25">
      <c r="A111" s="10">
        <v>106</v>
      </c>
      <c r="B111" s="7" t="s">
        <v>51</v>
      </c>
      <c r="C111" s="1" t="s">
        <v>319</v>
      </c>
      <c r="D111" s="10"/>
      <c r="E111" s="12" t="s">
        <v>238</v>
      </c>
      <c r="G111" s="1" t="s">
        <v>18</v>
      </c>
      <c r="I111" s="1" t="s">
        <v>174</v>
      </c>
      <c r="K111" s="7" t="str">
        <f t="shared" si="58"/>
        <v>ok</v>
      </c>
      <c r="V111" s="3" t="str">
        <f t="shared" si="60"/>
        <v>en_iocfg_dir__input</v>
      </c>
      <c r="W111" s="3" t="str">
        <f t="shared" si="84"/>
        <v>.flttype =0</v>
      </c>
      <c r="X111" s="3" t="str">
        <f t="shared" si="85"/>
        <v>.fltclk=0</v>
      </c>
      <c r="Y111" s="3" t="str">
        <f t="shared" si="86"/>
        <v>.invinp=0</v>
      </c>
      <c r="Z111" s="3" t="str">
        <f t="shared" si="87"/>
        <v>.iewo=0</v>
      </c>
      <c r="AA111" s="3" t="str">
        <f t="shared" si="88"/>
        <v>.opendrn=0</v>
      </c>
      <c r="AB111" s="3" t="str">
        <f t="shared" si="89"/>
        <v>.invout=0</v>
      </c>
      <c r="AC111" s="3" t="str">
        <f t="shared" si="90"/>
        <v>.plevel=0</v>
      </c>
      <c r="AD111" s="3" t="str">
        <f t="shared" si="91"/>
        <v>.pen=0</v>
      </c>
      <c r="AE111" s="3" t="str">
        <f t="shared" si="59"/>
        <v>.pwoa=0</v>
      </c>
      <c r="AF111" s="3" t="str">
        <f t="shared" si="92"/>
        <v>.funsel=0</v>
      </c>
      <c r="AG111" s="3" t="str">
        <f t="shared" si="93"/>
        <v>.iodis=0</v>
      </c>
      <c r="AJ111" t="s">
        <v>324</v>
      </c>
      <c r="AK111" s="14" t="s">
        <v>336</v>
      </c>
      <c r="AL111" t="str">
        <f t="shared" si="94"/>
        <v>{VOR_PORTB, 5,en_iocfg_dir__input, {{.fltclk=0,.invinp=0,.iewo=0,.opendrn=0,.invout=0,.plevel=0,.pen=0,.pwoa=0,.funsel=0,.iodis=0}}},</v>
      </c>
    </row>
    <row r="112" spans="1:38" x14ac:dyDescent="0.25">
      <c r="A112" s="10">
        <v>107</v>
      </c>
      <c r="B112" s="7" t="s">
        <v>50</v>
      </c>
      <c r="C112" s="1" t="s">
        <v>319</v>
      </c>
      <c r="D112" s="10"/>
      <c r="E112" s="12" t="s">
        <v>239</v>
      </c>
      <c r="G112" s="1" t="s">
        <v>19</v>
      </c>
      <c r="I112" s="1" t="s">
        <v>176</v>
      </c>
      <c r="K112" s="7" t="str">
        <f t="shared" si="58"/>
        <v>ok</v>
      </c>
      <c r="V112" s="3" t="str">
        <f t="shared" si="60"/>
        <v>en_iocfg_dir__input</v>
      </c>
      <c r="W112" s="3" t="str">
        <f t="shared" si="84"/>
        <v>.flttype =0</v>
      </c>
      <c r="X112" s="3" t="str">
        <f t="shared" si="85"/>
        <v>.fltclk=0</v>
      </c>
      <c r="Y112" s="3" t="str">
        <f t="shared" si="86"/>
        <v>.invinp=0</v>
      </c>
      <c r="Z112" s="3" t="str">
        <f t="shared" si="87"/>
        <v>.iewo=0</v>
      </c>
      <c r="AA112" s="3" t="str">
        <f t="shared" si="88"/>
        <v>.opendrn=0</v>
      </c>
      <c r="AB112" s="3" t="str">
        <f t="shared" si="89"/>
        <v>.invout=0</v>
      </c>
      <c r="AC112" s="3" t="str">
        <f t="shared" si="90"/>
        <v>.plevel=0</v>
      </c>
      <c r="AD112" s="3" t="str">
        <f t="shared" si="91"/>
        <v>.pen=0</v>
      </c>
      <c r="AE112" s="3" t="str">
        <f t="shared" si="59"/>
        <v>.pwoa=0</v>
      </c>
      <c r="AF112" s="3" t="str">
        <f t="shared" si="92"/>
        <v>.funsel=0</v>
      </c>
      <c r="AG112" s="3" t="str">
        <f t="shared" si="93"/>
        <v>.iodis=0</v>
      </c>
      <c r="AJ112" t="s">
        <v>324</v>
      </c>
      <c r="AK112" s="14" t="s">
        <v>337</v>
      </c>
      <c r="AL112" t="str">
        <f t="shared" si="94"/>
        <v>{VOR_PORTB, 4,en_iocfg_dir__input, {{.fltclk=0,.invinp=0,.iewo=0,.opendrn=0,.invout=0,.plevel=0,.pen=0,.pwoa=0,.funsel=0,.iodis=0}}},</v>
      </c>
    </row>
    <row r="113" spans="1:38" x14ac:dyDescent="0.25">
      <c r="A113" s="10">
        <v>108</v>
      </c>
      <c r="B113" s="7" t="s">
        <v>49</v>
      </c>
      <c r="C113" s="1" t="s">
        <v>319</v>
      </c>
      <c r="D113" s="10"/>
      <c r="E113" s="12" t="s">
        <v>240</v>
      </c>
      <c r="G113" s="1" t="s">
        <v>20</v>
      </c>
      <c r="I113" s="1" t="s">
        <v>178</v>
      </c>
      <c r="K113" s="7" t="str">
        <f t="shared" si="58"/>
        <v>ok</v>
      </c>
      <c r="V113" s="3" t="str">
        <f t="shared" si="60"/>
        <v>en_iocfg_dir__input</v>
      </c>
      <c r="W113" s="3" t="str">
        <f t="shared" si="84"/>
        <v>.flttype =0</v>
      </c>
      <c r="X113" s="3" t="str">
        <f t="shared" si="85"/>
        <v>.fltclk=0</v>
      </c>
      <c r="Y113" s="3" t="str">
        <f t="shared" si="86"/>
        <v>.invinp=0</v>
      </c>
      <c r="Z113" s="3" t="str">
        <f t="shared" si="87"/>
        <v>.iewo=0</v>
      </c>
      <c r="AA113" s="3" t="str">
        <f t="shared" si="88"/>
        <v>.opendrn=0</v>
      </c>
      <c r="AB113" s="3" t="str">
        <f t="shared" si="89"/>
        <v>.invout=0</v>
      </c>
      <c r="AC113" s="3" t="str">
        <f t="shared" si="90"/>
        <v>.plevel=0</v>
      </c>
      <c r="AD113" s="3" t="str">
        <f t="shared" si="91"/>
        <v>.pen=0</v>
      </c>
      <c r="AE113" s="3" t="str">
        <f t="shared" si="59"/>
        <v>.pwoa=0</v>
      </c>
      <c r="AF113" s="3" t="str">
        <f t="shared" si="92"/>
        <v>.funsel=0</v>
      </c>
      <c r="AG113" s="3" t="str">
        <f t="shared" si="93"/>
        <v>.iodis=0</v>
      </c>
      <c r="AJ113" t="s">
        <v>324</v>
      </c>
      <c r="AK113" s="14" t="s">
        <v>338</v>
      </c>
      <c r="AL113" t="str">
        <f t="shared" si="94"/>
        <v>{VOR_PORTB, 3,en_iocfg_dir__input, {{.fltclk=0,.invinp=0,.iewo=0,.opendrn=0,.invout=0,.plevel=0,.pen=0,.pwoa=0,.funsel=0,.iodis=0}}},</v>
      </c>
    </row>
    <row r="114" spans="1:38" x14ac:dyDescent="0.25">
      <c r="A114" s="10">
        <v>109</v>
      </c>
      <c r="B114" s="7" t="s">
        <v>48</v>
      </c>
      <c r="C114" s="1" t="s">
        <v>319</v>
      </c>
      <c r="D114" s="10"/>
      <c r="E114" s="12" t="s">
        <v>241</v>
      </c>
      <c r="G114" s="1" t="s">
        <v>21</v>
      </c>
      <c r="I114" s="1" t="s">
        <v>180</v>
      </c>
      <c r="K114" s="7" t="str">
        <f t="shared" si="58"/>
        <v>ok</v>
      </c>
      <c r="V114" s="3" t="str">
        <f t="shared" si="60"/>
        <v>en_iocfg_dir__input</v>
      </c>
      <c r="W114" s="3" t="str">
        <f t="shared" si="84"/>
        <v>.flttype =0</v>
      </c>
      <c r="X114" s="3" t="str">
        <f t="shared" si="85"/>
        <v>.fltclk=0</v>
      </c>
      <c r="Y114" s="3" t="str">
        <f t="shared" si="86"/>
        <v>.invinp=0</v>
      </c>
      <c r="Z114" s="3" t="str">
        <f t="shared" si="87"/>
        <v>.iewo=0</v>
      </c>
      <c r="AA114" s="3" t="str">
        <f t="shared" si="88"/>
        <v>.opendrn=0</v>
      </c>
      <c r="AB114" s="3" t="str">
        <f t="shared" si="89"/>
        <v>.invout=0</v>
      </c>
      <c r="AC114" s="3" t="str">
        <f t="shared" si="90"/>
        <v>.plevel=0</v>
      </c>
      <c r="AD114" s="3" t="str">
        <f t="shared" si="91"/>
        <v>.pen=0</v>
      </c>
      <c r="AE114" s="3" t="str">
        <f t="shared" si="59"/>
        <v>.pwoa=0</v>
      </c>
      <c r="AF114" s="3" t="str">
        <f t="shared" si="92"/>
        <v>.funsel=0</v>
      </c>
      <c r="AG114" s="3" t="str">
        <f t="shared" si="93"/>
        <v>.iodis=0</v>
      </c>
      <c r="AJ114" t="s">
        <v>324</v>
      </c>
      <c r="AK114" s="14" t="s">
        <v>339</v>
      </c>
      <c r="AL114" t="str">
        <f t="shared" si="94"/>
        <v>{VOR_PORTB, 2,en_iocfg_dir__input, {{.fltclk=0,.invinp=0,.iewo=0,.opendrn=0,.invout=0,.plevel=0,.pen=0,.pwoa=0,.funsel=0,.iodis=0}}},</v>
      </c>
    </row>
    <row r="115" spans="1:38" x14ac:dyDescent="0.25">
      <c r="A115" s="10">
        <v>110</v>
      </c>
      <c r="B115" s="7" t="s">
        <v>47</v>
      </c>
      <c r="C115" s="1" t="s">
        <v>319</v>
      </c>
      <c r="D115" s="10"/>
      <c r="E115" s="12" t="s">
        <v>242</v>
      </c>
      <c r="G115" s="1" t="s">
        <v>22</v>
      </c>
      <c r="I115" s="1" t="s">
        <v>182</v>
      </c>
      <c r="K115" s="7" t="str">
        <f t="shared" si="58"/>
        <v>ok</v>
      </c>
      <c r="V115" s="3" t="str">
        <f t="shared" si="60"/>
        <v>en_iocfg_dir__input</v>
      </c>
      <c r="W115" s="3" t="str">
        <f t="shared" si="84"/>
        <v>.flttype =0</v>
      </c>
      <c r="X115" s="3" t="str">
        <f t="shared" si="85"/>
        <v>.fltclk=0</v>
      </c>
      <c r="Y115" s="3" t="str">
        <f t="shared" si="86"/>
        <v>.invinp=0</v>
      </c>
      <c r="Z115" s="3" t="str">
        <f t="shared" si="87"/>
        <v>.iewo=0</v>
      </c>
      <c r="AA115" s="3" t="str">
        <f t="shared" si="88"/>
        <v>.opendrn=0</v>
      </c>
      <c r="AB115" s="3" t="str">
        <f t="shared" si="89"/>
        <v>.invout=0</v>
      </c>
      <c r="AC115" s="3" t="str">
        <f t="shared" si="90"/>
        <v>.plevel=0</v>
      </c>
      <c r="AD115" s="3" t="str">
        <f t="shared" si="91"/>
        <v>.pen=0</v>
      </c>
      <c r="AE115" s="3" t="str">
        <f t="shared" si="59"/>
        <v>.pwoa=0</v>
      </c>
      <c r="AF115" s="3" t="str">
        <f t="shared" si="92"/>
        <v>.funsel=0</v>
      </c>
      <c r="AG115" s="3" t="str">
        <f t="shared" si="93"/>
        <v>.iodis=0</v>
      </c>
      <c r="AJ115" t="s">
        <v>324</v>
      </c>
      <c r="AK115" s="14" t="s">
        <v>340</v>
      </c>
      <c r="AL115" t="str">
        <f t="shared" si="94"/>
        <v>{VOR_PORTB, 1,en_iocfg_dir__input, {{.fltclk=0,.invinp=0,.iewo=0,.opendrn=0,.invout=0,.plevel=0,.pen=0,.pwoa=0,.funsel=0,.iodis=0}}},</v>
      </c>
    </row>
    <row r="116" spans="1:38" x14ac:dyDescent="0.25">
      <c r="A116" s="10">
        <v>111</v>
      </c>
      <c r="B116" s="7" t="s">
        <v>46</v>
      </c>
      <c r="C116" s="1" t="s">
        <v>319</v>
      </c>
      <c r="D116" s="10"/>
      <c r="E116" s="12" t="s">
        <v>243</v>
      </c>
      <c r="G116" s="1" t="s">
        <v>23</v>
      </c>
      <c r="I116" s="1" t="s">
        <v>184</v>
      </c>
      <c r="K116" s="7" t="str">
        <f t="shared" si="58"/>
        <v>ok</v>
      </c>
      <c r="V116" s="3" t="str">
        <f t="shared" si="60"/>
        <v>en_iocfg_dir__input</v>
      </c>
      <c r="W116" s="3" t="str">
        <f t="shared" si="84"/>
        <v>.flttype =0</v>
      </c>
      <c r="X116" s="3" t="str">
        <f t="shared" si="85"/>
        <v>.fltclk=0</v>
      </c>
      <c r="Y116" s="3" t="str">
        <f t="shared" si="86"/>
        <v>.invinp=0</v>
      </c>
      <c r="Z116" s="3" t="str">
        <f t="shared" si="87"/>
        <v>.iewo=0</v>
      </c>
      <c r="AA116" s="3" t="str">
        <f t="shared" si="88"/>
        <v>.opendrn=0</v>
      </c>
      <c r="AB116" s="3" t="str">
        <f t="shared" si="89"/>
        <v>.invout=0</v>
      </c>
      <c r="AC116" s="3" t="str">
        <f t="shared" si="90"/>
        <v>.plevel=0</v>
      </c>
      <c r="AD116" s="3" t="str">
        <f t="shared" si="91"/>
        <v>.pen=0</v>
      </c>
      <c r="AE116" s="3" t="str">
        <f t="shared" si="59"/>
        <v>.pwoa=0</v>
      </c>
      <c r="AF116" s="3" t="str">
        <f t="shared" si="92"/>
        <v>.funsel=0</v>
      </c>
      <c r="AG116" s="3" t="str">
        <f t="shared" si="93"/>
        <v>.iodis=0</v>
      </c>
      <c r="AJ116" t="s">
        <v>324</v>
      </c>
      <c r="AK116" s="14" t="s">
        <v>341</v>
      </c>
      <c r="AL116" t="str">
        <f t="shared" si="94"/>
        <v>{VOR_PORTB, 0,en_iocfg_dir__input, {{.fltclk=0,.invinp=0,.iewo=0,.opendrn=0,.invout=0,.plevel=0,.pen=0,.pwoa=0,.funsel=0,.iodis=0}}},</v>
      </c>
    </row>
    <row r="117" spans="1:38" x14ac:dyDescent="0.25">
      <c r="A117" s="10">
        <v>112</v>
      </c>
      <c r="B117" s="7" t="s">
        <v>45</v>
      </c>
      <c r="C117" s="1" t="s">
        <v>319</v>
      </c>
      <c r="D117" s="10"/>
      <c r="E117" s="12" t="s">
        <v>244</v>
      </c>
      <c r="G117" s="1" t="s">
        <v>24</v>
      </c>
      <c r="I117" s="1" t="s">
        <v>133</v>
      </c>
      <c r="K117" s="7" t="str">
        <f t="shared" si="58"/>
        <v>ok</v>
      </c>
      <c r="V117" s="3" t="str">
        <f t="shared" si="60"/>
        <v>en_iocfg_dir__input</v>
      </c>
      <c r="W117" s="3" t="str">
        <f t="shared" si="84"/>
        <v>.flttype =0</v>
      </c>
      <c r="X117" s="3" t="str">
        <f t="shared" si="85"/>
        <v>.fltclk=0</v>
      </c>
      <c r="Y117" s="3" t="str">
        <f t="shared" si="86"/>
        <v>.invinp=0</v>
      </c>
      <c r="Z117" s="3" t="str">
        <f t="shared" si="87"/>
        <v>.iewo=0</v>
      </c>
      <c r="AA117" s="3" t="str">
        <f t="shared" si="88"/>
        <v>.opendrn=0</v>
      </c>
      <c r="AB117" s="3" t="str">
        <f t="shared" si="89"/>
        <v>.invout=0</v>
      </c>
      <c r="AC117" s="3" t="str">
        <f t="shared" si="90"/>
        <v>.plevel=0</v>
      </c>
      <c r="AD117" s="3" t="str">
        <f t="shared" si="91"/>
        <v>.pen=0</v>
      </c>
      <c r="AE117" s="3" t="str">
        <f t="shared" si="59"/>
        <v>.pwoa=0</v>
      </c>
      <c r="AF117" s="3" t="str">
        <f t="shared" si="92"/>
        <v>.funsel=0</v>
      </c>
      <c r="AG117" s="3" t="str">
        <f t="shared" si="93"/>
        <v>.iodis=0</v>
      </c>
      <c r="AJ117" t="s">
        <v>325</v>
      </c>
      <c r="AK117" s="14">
        <v>15</v>
      </c>
      <c r="AL117" t="str">
        <f t="shared" si="94"/>
        <v>{VOR_PORTA,15,en_iocfg_dir__input, {{.fltclk=0,.invinp=0,.iewo=0,.opendrn=0,.invout=0,.plevel=0,.pen=0,.pwoa=0,.funsel=0,.iodis=0}}},</v>
      </c>
    </row>
    <row r="118" spans="1:38" x14ac:dyDescent="0.25">
      <c r="A118" s="10">
        <v>113</v>
      </c>
      <c r="B118" s="7" t="s">
        <v>44</v>
      </c>
      <c r="C118" s="1" t="s">
        <v>319</v>
      </c>
      <c r="D118" s="10"/>
      <c r="E118" s="12" t="s">
        <v>245</v>
      </c>
      <c r="G118" s="1" t="s">
        <v>25</v>
      </c>
      <c r="I118" s="1" t="s">
        <v>133</v>
      </c>
      <c r="K118" s="7" t="str">
        <f t="shared" si="58"/>
        <v>ok</v>
      </c>
      <c r="V118" s="3" t="str">
        <f t="shared" si="60"/>
        <v>en_iocfg_dir__input</v>
      </c>
      <c r="W118" s="3" t="str">
        <f t="shared" si="84"/>
        <v>.flttype =0</v>
      </c>
      <c r="X118" s="3" t="str">
        <f t="shared" si="85"/>
        <v>.fltclk=0</v>
      </c>
      <c r="Y118" s="3" t="str">
        <f t="shared" si="86"/>
        <v>.invinp=0</v>
      </c>
      <c r="Z118" s="3" t="str">
        <f t="shared" si="87"/>
        <v>.iewo=0</v>
      </c>
      <c r="AA118" s="3" t="str">
        <f t="shared" si="88"/>
        <v>.opendrn=0</v>
      </c>
      <c r="AB118" s="3" t="str">
        <f t="shared" si="89"/>
        <v>.invout=0</v>
      </c>
      <c r="AC118" s="3" t="str">
        <f t="shared" si="90"/>
        <v>.plevel=0</v>
      </c>
      <c r="AD118" s="3" t="str">
        <f t="shared" si="91"/>
        <v>.pen=0</v>
      </c>
      <c r="AE118" s="3" t="str">
        <f t="shared" si="59"/>
        <v>.pwoa=0</v>
      </c>
      <c r="AF118" s="3" t="str">
        <f t="shared" si="92"/>
        <v>.funsel=0</v>
      </c>
      <c r="AG118" s="3" t="str">
        <f t="shared" si="93"/>
        <v>.iodis=0</v>
      </c>
      <c r="AJ118" t="s">
        <v>325</v>
      </c>
      <c r="AK118" s="14">
        <v>14</v>
      </c>
      <c r="AL118" t="str">
        <f t="shared" si="94"/>
        <v>{VOR_PORTA,14,en_iocfg_dir__input, {{.fltclk=0,.invinp=0,.iewo=0,.opendrn=0,.invout=0,.plevel=0,.pen=0,.pwoa=0,.funsel=0,.iodis=0}}},</v>
      </c>
    </row>
    <row r="119" spans="1:38" x14ac:dyDescent="0.25">
      <c r="A119" s="10">
        <v>114</v>
      </c>
      <c r="B119" s="7" t="s">
        <v>43</v>
      </c>
      <c r="C119" s="1" t="s">
        <v>319</v>
      </c>
      <c r="D119" s="10"/>
      <c r="E119" s="12" t="s">
        <v>246</v>
      </c>
      <c r="G119" s="1" t="s">
        <v>26</v>
      </c>
      <c r="I119" s="1" t="s">
        <v>133</v>
      </c>
      <c r="K119" s="7" t="str">
        <f t="shared" si="58"/>
        <v>ok</v>
      </c>
      <c r="V119" s="3" t="str">
        <f t="shared" si="60"/>
        <v>en_iocfg_dir__input</v>
      </c>
      <c r="W119" s="3" t="str">
        <f t="shared" si="84"/>
        <v>.flttype =0</v>
      </c>
      <c r="X119" s="3" t="str">
        <f t="shared" si="85"/>
        <v>.fltclk=0</v>
      </c>
      <c r="Y119" s="3" t="str">
        <f t="shared" si="86"/>
        <v>.invinp=0</v>
      </c>
      <c r="Z119" s="3" t="str">
        <f t="shared" si="87"/>
        <v>.iewo=0</v>
      </c>
      <c r="AA119" s="3" t="str">
        <f t="shared" si="88"/>
        <v>.opendrn=0</v>
      </c>
      <c r="AB119" s="3" t="str">
        <f t="shared" si="89"/>
        <v>.invout=0</v>
      </c>
      <c r="AC119" s="3" t="str">
        <f t="shared" si="90"/>
        <v>.plevel=0</v>
      </c>
      <c r="AD119" s="3" t="str">
        <f t="shared" si="91"/>
        <v>.pen=0</v>
      </c>
      <c r="AE119" s="3" t="str">
        <f t="shared" si="59"/>
        <v>.pwoa=0</v>
      </c>
      <c r="AF119" s="3" t="str">
        <f t="shared" si="92"/>
        <v>.funsel=0</v>
      </c>
      <c r="AG119" s="3" t="str">
        <f t="shared" si="93"/>
        <v>.iodis=0</v>
      </c>
      <c r="AJ119" t="s">
        <v>325</v>
      </c>
      <c r="AK119" s="14">
        <v>13</v>
      </c>
      <c r="AL119" t="str">
        <f t="shared" si="94"/>
        <v>{VOR_PORTA,13,en_iocfg_dir__input, {{.fltclk=0,.invinp=0,.iewo=0,.opendrn=0,.invout=0,.plevel=0,.pen=0,.pwoa=0,.funsel=0,.iodis=0}}},</v>
      </c>
    </row>
    <row r="120" spans="1:38" x14ac:dyDescent="0.25">
      <c r="A120" s="10">
        <v>115</v>
      </c>
      <c r="B120" s="7" t="s">
        <v>42</v>
      </c>
      <c r="C120" s="1" t="s">
        <v>319</v>
      </c>
      <c r="D120" s="10"/>
      <c r="E120" s="12" t="s">
        <v>247</v>
      </c>
      <c r="G120" s="1" t="s">
        <v>27</v>
      </c>
      <c r="I120" s="1" t="s">
        <v>133</v>
      </c>
      <c r="K120" s="7" t="str">
        <f t="shared" si="58"/>
        <v>ok</v>
      </c>
      <c r="V120" s="3" t="str">
        <f t="shared" si="60"/>
        <v>en_iocfg_dir__input</v>
      </c>
      <c r="W120" s="3" t="str">
        <f t="shared" si="84"/>
        <v>.flttype =0</v>
      </c>
      <c r="X120" s="3" t="str">
        <f t="shared" si="85"/>
        <v>.fltclk=0</v>
      </c>
      <c r="Y120" s="3" t="str">
        <f t="shared" si="86"/>
        <v>.invinp=0</v>
      </c>
      <c r="Z120" s="3" t="str">
        <f t="shared" si="87"/>
        <v>.iewo=0</v>
      </c>
      <c r="AA120" s="3" t="str">
        <f t="shared" si="88"/>
        <v>.opendrn=0</v>
      </c>
      <c r="AB120" s="3" t="str">
        <f t="shared" si="89"/>
        <v>.invout=0</v>
      </c>
      <c r="AC120" s="3" t="str">
        <f t="shared" si="90"/>
        <v>.plevel=0</v>
      </c>
      <c r="AD120" s="3" t="str">
        <f t="shared" si="91"/>
        <v>.pen=0</v>
      </c>
      <c r="AE120" s="3" t="str">
        <f t="shared" si="59"/>
        <v>.pwoa=0</v>
      </c>
      <c r="AF120" s="3" t="str">
        <f t="shared" si="92"/>
        <v>.funsel=0</v>
      </c>
      <c r="AG120" s="3" t="str">
        <f t="shared" si="93"/>
        <v>.iodis=0</v>
      </c>
      <c r="AJ120" t="s">
        <v>325</v>
      </c>
      <c r="AK120" s="14">
        <v>12</v>
      </c>
      <c r="AL120" t="str">
        <f t="shared" si="94"/>
        <v>{VOR_PORTA,12,en_iocfg_dir__input, {{.fltclk=0,.invinp=0,.iewo=0,.opendrn=0,.invout=0,.plevel=0,.pen=0,.pwoa=0,.funsel=0,.iodis=0}}},</v>
      </c>
    </row>
    <row r="121" spans="1:38" x14ac:dyDescent="0.25">
      <c r="A121" s="10">
        <v>116</v>
      </c>
      <c r="B121" s="7" t="s">
        <v>41</v>
      </c>
      <c r="C121" s="1" t="s">
        <v>319</v>
      </c>
      <c r="D121" s="10"/>
      <c r="E121" s="12" t="s">
        <v>248</v>
      </c>
      <c r="G121" s="1" t="s">
        <v>28</v>
      </c>
      <c r="I121" s="1" t="s">
        <v>133</v>
      </c>
      <c r="K121" s="7" t="str">
        <f t="shared" si="58"/>
        <v>ok</v>
      </c>
      <c r="V121" s="3" t="str">
        <f t="shared" si="60"/>
        <v>en_iocfg_dir__input</v>
      </c>
      <c r="W121" s="3" t="str">
        <f t="shared" si="84"/>
        <v>.flttype =0</v>
      </c>
      <c r="X121" s="3" t="str">
        <f t="shared" si="85"/>
        <v>.fltclk=0</v>
      </c>
      <c r="Y121" s="3" t="str">
        <f t="shared" si="86"/>
        <v>.invinp=0</v>
      </c>
      <c r="Z121" s="3" t="str">
        <f t="shared" si="87"/>
        <v>.iewo=0</v>
      </c>
      <c r="AA121" s="3" t="str">
        <f t="shared" si="88"/>
        <v>.opendrn=0</v>
      </c>
      <c r="AB121" s="3" t="str">
        <f t="shared" si="89"/>
        <v>.invout=0</v>
      </c>
      <c r="AC121" s="3" t="str">
        <f t="shared" si="90"/>
        <v>.plevel=0</v>
      </c>
      <c r="AD121" s="3" t="str">
        <f t="shared" si="91"/>
        <v>.pen=0</v>
      </c>
      <c r="AE121" s="3" t="str">
        <f t="shared" si="59"/>
        <v>.pwoa=0</v>
      </c>
      <c r="AF121" s="3" t="str">
        <f t="shared" si="92"/>
        <v>.funsel=0</v>
      </c>
      <c r="AG121" s="3" t="str">
        <f t="shared" si="93"/>
        <v>.iodis=0</v>
      </c>
      <c r="AJ121" t="s">
        <v>325</v>
      </c>
      <c r="AK121" s="14">
        <v>11</v>
      </c>
      <c r="AL121" t="str">
        <f t="shared" si="94"/>
        <v>{VOR_PORTA,11,en_iocfg_dir__input, {{.fltclk=0,.invinp=0,.iewo=0,.opendrn=0,.invout=0,.plevel=0,.pen=0,.pwoa=0,.funsel=0,.iodis=0}}},</v>
      </c>
    </row>
    <row r="122" spans="1:38" x14ac:dyDescent="0.25">
      <c r="A122" s="10">
        <v>117</v>
      </c>
      <c r="B122" s="7" t="s">
        <v>40</v>
      </c>
      <c r="C122" s="1" t="s">
        <v>319</v>
      </c>
      <c r="D122" s="10"/>
      <c r="E122" s="12" t="s">
        <v>249</v>
      </c>
      <c r="G122" s="1" t="s">
        <v>29</v>
      </c>
      <c r="I122" s="1" t="s">
        <v>133</v>
      </c>
      <c r="K122" s="7" t="str">
        <f t="shared" si="58"/>
        <v>ok</v>
      </c>
      <c r="V122" s="3" t="str">
        <f t="shared" si="60"/>
        <v>en_iocfg_dir__input</v>
      </c>
      <c r="W122" s="3" t="str">
        <f t="shared" si="84"/>
        <v>.flttype =0</v>
      </c>
      <c r="X122" s="3" t="str">
        <f t="shared" si="85"/>
        <v>.fltclk=0</v>
      </c>
      <c r="Y122" s="3" t="str">
        <f t="shared" si="86"/>
        <v>.invinp=0</v>
      </c>
      <c r="Z122" s="3" t="str">
        <f t="shared" si="87"/>
        <v>.iewo=0</v>
      </c>
      <c r="AA122" s="3" t="str">
        <f t="shared" si="88"/>
        <v>.opendrn=0</v>
      </c>
      <c r="AB122" s="3" t="str">
        <f t="shared" si="89"/>
        <v>.invout=0</v>
      </c>
      <c r="AC122" s="3" t="str">
        <f t="shared" si="90"/>
        <v>.plevel=0</v>
      </c>
      <c r="AD122" s="3" t="str">
        <f t="shared" si="91"/>
        <v>.pen=0</v>
      </c>
      <c r="AE122" s="3" t="str">
        <f t="shared" si="59"/>
        <v>.pwoa=0</v>
      </c>
      <c r="AF122" s="3" t="str">
        <f t="shared" si="92"/>
        <v>.funsel=0</v>
      </c>
      <c r="AG122" s="3" t="str">
        <f t="shared" si="93"/>
        <v>.iodis=0</v>
      </c>
      <c r="AJ122" t="s">
        <v>325</v>
      </c>
      <c r="AK122" s="14">
        <v>10</v>
      </c>
      <c r="AL122" t="str">
        <f t="shared" si="94"/>
        <v>{VOR_PORTA,10,en_iocfg_dir__input, {{.fltclk=0,.invinp=0,.iewo=0,.opendrn=0,.invout=0,.plevel=0,.pen=0,.pwoa=0,.funsel=0,.iodis=0}}},</v>
      </c>
    </row>
    <row r="123" spans="1:38" x14ac:dyDescent="0.25">
      <c r="A123" s="10">
        <v>118</v>
      </c>
      <c r="B123" s="7" t="s">
        <v>39</v>
      </c>
      <c r="C123" s="1" t="s">
        <v>319</v>
      </c>
      <c r="D123" s="10"/>
      <c r="E123" s="12" t="s">
        <v>250</v>
      </c>
      <c r="G123" s="1" t="s">
        <v>251</v>
      </c>
      <c r="I123" s="1" t="s">
        <v>133</v>
      </c>
      <c r="K123" s="7" t="str">
        <f t="shared" si="58"/>
        <v>ok</v>
      </c>
      <c r="V123" s="3" t="str">
        <f t="shared" si="60"/>
        <v>en_iocfg_dir__input</v>
      </c>
      <c r="W123" s="3" t="str">
        <f t="shared" si="84"/>
        <v>.flttype =0</v>
      </c>
      <c r="X123" s="3" t="str">
        <f t="shared" si="85"/>
        <v>.fltclk=0</v>
      </c>
      <c r="Y123" s="3" t="str">
        <f t="shared" si="86"/>
        <v>.invinp=0</v>
      </c>
      <c r="Z123" s="3" t="str">
        <f t="shared" si="87"/>
        <v>.iewo=0</v>
      </c>
      <c r="AA123" s="3" t="str">
        <f t="shared" si="88"/>
        <v>.opendrn=0</v>
      </c>
      <c r="AB123" s="3" t="str">
        <f t="shared" si="89"/>
        <v>.invout=0</v>
      </c>
      <c r="AC123" s="3" t="str">
        <f t="shared" si="90"/>
        <v>.plevel=0</v>
      </c>
      <c r="AD123" s="3" t="str">
        <f t="shared" si="91"/>
        <v>.pen=0</v>
      </c>
      <c r="AE123" s="3" t="str">
        <f t="shared" si="59"/>
        <v>.pwoa=0</v>
      </c>
      <c r="AF123" s="3" t="str">
        <f t="shared" si="92"/>
        <v>.funsel=0</v>
      </c>
      <c r="AG123" s="3" t="str">
        <f t="shared" si="93"/>
        <v>.iodis=0</v>
      </c>
      <c r="AJ123" t="s">
        <v>325</v>
      </c>
      <c r="AK123" s="14" t="s">
        <v>332</v>
      </c>
      <c r="AL123" t="str">
        <f t="shared" si="94"/>
        <v>{VOR_PORTA, 9,en_iocfg_dir__input, {{.fltclk=0,.invinp=0,.iewo=0,.opendrn=0,.invout=0,.plevel=0,.pen=0,.pwoa=0,.funsel=0,.iodis=0}}},</v>
      </c>
    </row>
    <row r="124" spans="1:38" x14ac:dyDescent="0.25">
      <c r="A124" s="10">
        <v>119</v>
      </c>
      <c r="B124" s="7" t="s">
        <v>38</v>
      </c>
      <c r="C124" s="1" t="s">
        <v>319</v>
      </c>
      <c r="D124" s="10"/>
      <c r="E124" s="12" t="s">
        <v>252</v>
      </c>
      <c r="G124" s="1" t="s">
        <v>253</v>
      </c>
      <c r="I124" s="1" t="s">
        <v>14</v>
      </c>
      <c r="K124" s="7" t="str">
        <f t="shared" si="58"/>
        <v>ok</v>
      </c>
      <c r="V124" s="3" t="str">
        <f t="shared" si="60"/>
        <v>en_iocfg_dir__input</v>
      </c>
      <c r="W124" s="3" t="str">
        <f t="shared" si="84"/>
        <v>.flttype =0</v>
      </c>
      <c r="X124" s="3" t="str">
        <f t="shared" si="85"/>
        <v>.fltclk=0</v>
      </c>
      <c r="Y124" s="3" t="str">
        <f t="shared" si="86"/>
        <v>.invinp=0</v>
      </c>
      <c r="Z124" s="3" t="str">
        <f t="shared" si="87"/>
        <v>.iewo=0</v>
      </c>
      <c r="AA124" s="3" t="str">
        <f t="shared" si="88"/>
        <v>.opendrn=0</v>
      </c>
      <c r="AB124" s="3" t="str">
        <f t="shared" si="89"/>
        <v>.invout=0</v>
      </c>
      <c r="AC124" s="3" t="str">
        <f t="shared" si="90"/>
        <v>.plevel=0</v>
      </c>
      <c r="AD124" s="3" t="str">
        <f t="shared" si="91"/>
        <v>.pen=0</v>
      </c>
      <c r="AE124" s="3" t="str">
        <f t="shared" si="59"/>
        <v>.pwoa=0</v>
      </c>
      <c r="AF124" s="3" t="str">
        <f t="shared" si="92"/>
        <v>.funsel=0</v>
      </c>
      <c r="AG124" s="3" t="str">
        <f t="shared" si="93"/>
        <v>.iodis=0</v>
      </c>
      <c r="AJ124" t="s">
        <v>325</v>
      </c>
      <c r="AK124" s="14" t="s">
        <v>333</v>
      </c>
      <c r="AL124" t="str">
        <f t="shared" si="94"/>
        <v>{VOR_PORTA, 8,en_iocfg_dir__input, {{.fltclk=0,.invinp=0,.iewo=0,.opendrn=0,.invout=0,.plevel=0,.pen=0,.pwoa=0,.funsel=0,.iodis=0}}},</v>
      </c>
    </row>
    <row r="125" spans="1:38" x14ac:dyDescent="0.25">
      <c r="A125" s="10">
        <v>120</v>
      </c>
      <c r="B125" s="7" t="s">
        <v>144</v>
      </c>
      <c r="D125" s="10"/>
      <c r="E125" s="1" t="s">
        <v>137</v>
      </c>
      <c r="G125" s="1" t="s">
        <v>137</v>
      </c>
      <c r="I125" s="1" t="s">
        <v>137</v>
      </c>
      <c r="AJ125" t="s">
        <v>144</v>
      </c>
    </row>
    <row r="126" spans="1:38" x14ac:dyDescent="0.25">
      <c r="A126" s="10">
        <v>121</v>
      </c>
      <c r="B126" s="7" t="s">
        <v>143</v>
      </c>
      <c r="D126" s="10"/>
      <c r="E126" s="1" t="s">
        <v>137</v>
      </c>
      <c r="G126" s="1" t="s">
        <v>137</v>
      </c>
      <c r="I126" s="1" t="s">
        <v>137</v>
      </c>
      <c r="AJ126" t="s">
        <v>143</v>
      </c>
    </row>
    <row r="127" spans="1:38" x14ac:dyDescent="0.25">
      <c r="A127" s="10">
        <v>122</v>
      </c>
      <c r="B127" s="7" t="s">
        <v>142</v>
      </c>
      <c r="D127" s="10"/>
      <c r="E127" s="1" t="s">
        <v>137</v>
      </c>
      <c r="G127" s="1" t="s">
        <v>137</v>
      </c>
      <c r="I127" s="1" t="s">
        <v>137</v>
      </c>
      <c r="AJ127" t="s">
        <v>142</v>
      </c>
    </row>
    <row r="128" spans="1:38" x14ac:dyDescent="0.25">
      <c r="A128" s="10">
        <v>123</v>
      </c>
      <c r="B128" s="7" t="s">
        <v>37</v>
      </c>
      <c r="D128" s="10"/>
      <c r="E128" s="1" t="s">
        <v>13</v>
      </c>
      <c r="G128" s="1" t="s">
        <v>147</v>
      </c>
      <c r="H128" s="1" t="s">
        <v>319</v>
      </c>
      <c r="I128" s="1" t="s">
        <v>133</v>
      </c>
      <c r="K128" s="7" t="str">
        <f t="shared" si="58"/>
        <v>ok</v>
      </c>
      <c r="V128" s="3" t="str">
        <f t="shared" si="60"/>
        <v>en_iocfg_dir_dncare</v>
      </c>
      <c r="W128" s="3" t="str">
        <f t="shared" ref="W128:W169" si="95">IF(L128=0,".flttype =0",IF(L128=1,".flttype =1",IF(L128=2,".flttype =2",IF(L128=3,".flttype =3",IF(L128=4,".flttype =4",IF(L128=5,".flttype =5"))))))</f>
        <v>.flttype =0</v>
      </c>
      <c r="X128" s="3" t="str">
        <f t="shared" ref="X128:X169" si="96">IF(M128=0,".fltclk=0",IF(M128=1,".fltclk=1",IF(M128=2,".fltclk=2",IF(M128=3,".fltclk=3",IF(M128=4,".fltclk=4",IF(M128=5,".fltclk=5",".fltclk=6"))))))</f>
        <v>.fltclk=0</v>
      </c>
      <c r="Y128" s="3" t="str">
        <f t="shared" ref="Y128:Y169" si="97">IF(N128="Y",".invinp=1",".invinp=0")</f>
        <v>.invinp=0</v>
      </c>
      <c r="Z128" s="3" t="str">
        <f t="shared" ref="Z128:Z169" si="98">IF(O128="Y",".iewo=1",".iewo=0")</f>
        <v>.iewo=0</v>
      </c>
      <c r="AA128" s="3" t="str">
        <f t="shared" ref="AA128:AA169" si="99">IF(P128="Y",".opendrn=1",".opendrn=0")</f>
        <v>.opendrn=0</v>
      </c>
      <c r="AB128" s="3" t="str">
        <f t="shared" ref="AB128:AB169" si="100">IF(Q128="Y",".invout=1",".invout=0")</f>
        <v>.invout=0</v>
      </c>
      <c r="AC128" s="3" t="str">
        <f t="shared" ref="AC128:AC169" si="101">IF(R128="H",".plevel=1",".plevel=0")</f>
        <v>.plevel=0</v>
      </c>
      <c r="AD128" s="3" t="str">
        <f t="shared" ref="AD128:AD169" si="102">IF(S128="Y",".pen=1",".pen=0")</f>
        <v>.pen=0</v>
      </c>
      <c r="AE128" s="3" t="str">
        <f t="shared" si="59"/>
        <v>.pwoa=0</v>
      </c>
      <c r="AF128" s="3" t="str">
        <f t="shared" ref="AF128:AF169" si="103">IF(C128="Y",".funsel=0",IF(F128="Y",".funsel=1",IF(H128="Y",".funsel=2",IF(J128="Y",".funsel=3",".funsel=0")) ) )</f>
        <v>.funsel=2</v>
      </c>
      <c r="AG128" s="3" t="str">
        <f t="shared" ref="AG128:AG169" si="104">IF(U128="Y",".iodis=1",".iodis=0")</f>
        <v>.iodis=0</v>
      </c>
      <c r="AJ128" t="s">
        <v>325</v>
      </c>
      <c r="AK128" s="14" t="s">
        <v>334</v>
      </c>
      <c r="AL128" t="str">
        <f t="shared" ref="AL128:AL169" si="105">_xlfn.CONCAT("{VOR_",AJ128,",",AK128,",", V128,", {{",X128,",",Y128,",",Z128,",",AA128,",",AB128,",",AC128,",",AD128,",",AE128,",",AF128,",",AG128,"}}},")</f>
        <v>{VOR_PORTA, 7,en_iocfg_dir_dncare, {{.fltclk=0,.invinp=0,.iewo=0,.opendrn=0,.invout=0,.plevel=0,.pen=0,.pwoa=0,.funsel=2,.iodis=0}}},</v>
      </c>
    </row>
    <row r="129" spans="1:38" x14ac:dyDescent="0.25">
      <c r="A129" s="10">
        <v>124</v>
      </c>
      <c r="B129" s="7" t="s">
        <v>36</v>
      </c>
      <c r="D129" s="10"/>
      <c r="E129" s="1" t="s">
        <v>12</v>
      </c>
      <c r="G129" s="1" t="s">
        <v>149</v>
      </c>
      <c r="H129" s="1" t="s">
        <v>319</v>
      </c>
      <c r="I129" s="1" t="s">
        <v>133</v>
      </c>
      <c r="K129" s="7" t="str">
        <f t="shared" si="58"/>
        <v>ok</v>
      </c>
      <c r="V129" s="3" t="str">
        <f t="shared" si="60"/>
        <v>en_iocfg_dir_dncare</v>
      </c>
      <c r="W129" s="3" t="str">
        <f t="shared" si="95"/>
        <v>.flttype =0</v>
      </c>
      <c r="X129" s="3" t="str">
        <f t="shared" si="96"/>
        <v>.fltclk=0</v>
      </c>
      <c r="Y129" s="3" t="str">
        <f t="shared" si="97"/>
        <v>.invinp=0</v>
      </c>
      <c r="Z129" s="3" t="str">
        <f t="shared" si="98"/>
        <v>.iewo=0</v>
      </c>
      <c r="AA129" s="3" t="str">
        <f t="shared" si="99"/>
        <v>.opendrn=0</v>
      </c>
      <c r="AB129" s="3" t="str">
        <f t="shared" si="100"/>
        <v>.invout=0</v>
      </c>
      <c r="AC129" s="3" t="str">
        <f t="shared" si="101"/>
        <v>.plevel=0</v>
      </c>
      <c r="AD129" s="3" t="str">
        <f t="shared" si="102"/>
        <v>.pen=0</v>
      </c>
      <c r="AE129" s="3" t="str">
        <f t="shared" si="59"/>
        <v>.pwoa=0</v>
      </c>
      <c r="AF129" s="3" t="str">
        <f t="shared" si="103"/>
        <v>.funsel=2</v>
      </c>
      <c r="AG129" s="3" t="str">
        <f t="shared" si="104"/>
        <v>.iodis=0</v>
      </c>
      <c r="AJ129" t="s">
        <v>325</v>
      </c>
      <c r="AK129" s="14" t="s">
        <v>335</v>
      </c>
      <c r="AL129" t="str">
        <f t="shared" si="105"/>
        <v>{VOR_PORTA, 6,en_iocfg_dir_dncare, {{.fltclk=0,.invinp=0,.iewo=0,.opendrn=0,.invout=0,.plevel=0,.pen=0,.pwoa=0,.funsel=2,.iodis=0}}},</v>
      </c>
    </row>
    <row r="130" spans="1:38" x14ac:dyDescent="0.25">
      <c r="A130" s="10">
        <v>125</v>
      </c>
      <c r="B130" s="7" t="s">
        <v>35</v>
      </c>
      <c r="D130" s="10"/>
      <c r="E130" s="1" t="s">
        <v>11</v>
      </c>
      <c r="G130" s="1" t="s">
        <v>151</v>
      </c>
      <c r="H130" s="1" t="s">
        <v>319</v>
      </c>
      <c r="I130" s="1" t="s">
        <v>133</v>
      </c>
      <c r="K130" s="7" t="str">
        <f t="shared" si="58"/>
        <v>ok</v>
      </c>
      <c r="V130" s="3" t="str">
        <f t="shared" si="60"/>
        <v>en_iocfg_dir_dncare</v>
      </c>
      <c r="W130" s="3" t="str">
        <f t="shared" si="95"/>
        <v>.flttype =0</v>
      </c>
      <c r="X130" s="3" t="str">
        <f t="shared" si="96"/>
        <v>.fltclk=0</v>
      </c>
      <c r="Y130" s="3" t="str">
        <f t="shared" si="97"/>
        <v>.invinp=0</v>
      </c>
      <c r="Z130" s="3" t="str">
        <f t="shared" si="98"/>
        <v>.iewo=0</v>
      </c>
      <c r="AA130" s="3" t="str">
        <f t="shared" si="99"/>
        <v>.opendrn=0</v>
      </c>
      <c r="AB130" s="3" t="str">
        <f t="shared" si="100"/>
        <v>.invout=0</v>
      </c>
      <c r="AC130" s="3" t="str">
        <f t="shared" si="101"/>
        <v>.plevel=0</v>
      </c>
      <c r="AD130" s="3" t="str">
        <f t="shared" si="102"/>
        <v>.pen=0</v>
      </c>
      <c r="AE130" s="3" t="str">
        <f t="shared" si="59"/>
        <v>.pwoa=0</v>
      </c>
      <c r="AF130" s="3" t="str">
        <f t="shared" si="103"/>
        <v>.funsel=2</v>
      </c>
      <c r="AG130" s="3" t="str">
        <f t="shared" si="104"/>
        <v>.iodis=0</v>
      </c>
      <c r="AJ130" t="s">
        <v>325</v>
      </c>
      <c r="AK130" s="14" t="s">
        <v>336</v>
      </c>
      <c r="AL130" t="str">
        <f t="shared" si="105"/>
        <v>{VOR_PORTA, 5,en_iocfg_dir_dncare, {{.fltclk=0,.invinp=0,.iewo=0,.opendrn=0,.invout=0,.plevel=0,.pen=0,.pwoa=0,.funsel=2,.iodis=0}}},</v>
      </c>
    </row>
    <row r="131" spans="1:38" x14ac:dyDescent="0.25">
      <c r="A131" s="10">
        <v>126</v>
      </c>
      <c r="B131" s="7" t="s">
        <v>34</v>
      </c>
      <c r="D131" s="10"/>
      <c r="E131" s="1" t="s">
        <v>10</v>
      </c>
      <c r="G131" s="1" t="s">
        <v>153</v>
      </c>
      <c r="H131" s="1" t="s">
        <v>319</v>
      </c>
      <c r="I131" s="1" t="s">
        <v>133</v>
      </c>
      <c r="K131" s="7" t="str">
        <f t="shared" si="58"/>
        <v>ok</v>
      </c>
      <c r="V131" s="3" t="str">
        <f t="shared" si="60"/>
        <v>en_iocfg_dir_dncare</v>
      </c>
      <c r="W131" s="3" t="str">
        <f t="shared" si="95"/>
        <v>.flttype =0</v>
      </c>
      <c r="X131" s="3" t="str">
        <f t="shared" si="96"/>
        <v>.fltclk=0</v>
      </c>
      <c r="Y131" s="3" t="str">
        <f t="shared" si="97"/>
        <v>.invinp=0</v>
      </c>
      <c r="Z131" s="3" t="str">
        <f t="shared" si="98"/>
        <v>.iewo=0</v>
      </c>
      <c r="AA131" s="3" t="str">
        <f t="shared" si="99"/>
        <v>.opendrn=0</v>
      </c>
      <c r="AB131" s="3" t="str">
        <f t="shared" si="100"/>
        <v>.invout=0</v>
      </c>
      <c r="AC131" s="3" t="str">
        <f t="shared" si="101"/>
        <v>.plevel=0</v>
      </c>
      <c r="AD131" s="3" t="str">
        <f t="shared" si="102"/>
        <v>.pen=0</v>
      </c>
      <c r="AE131" s="3" t="str">
        <f t="shared" si="59"/>
        <v>.pwoa=0</v>
      </c>
      <c r="AF131" s="3" t="str">
        <f t="shared" si="103"/>
        <v>.funsel=2</v>
      </c>
      <c r="AG131" s="3" t="str">
        <f t="shared" si="104"/>
        <v>.iodis=0</v>
      </c>
      <c r="AJ131" t="s">
        <v>325</v>
      </c>
      <c r="AK131" s="14" t="s">
        <v>337</v>
      </c>
      <c r="AL131" t="str">
        <f t="shared" si="105"/>
        <v>{VOR_PORTA, 4,en_iocfg_dir_dncare, {{.fltclk=0,.invinp=0,.iewo=0,.opendrn=0,.invout=0,.plevel=0,.pen=0,.pwoa=0,.funsel=2,.iodis=0}}},</v>
      </c>
    </row>
    <row r="132" spans="1:38" x14ac:dyDescent="0.25">
      <c r="A132" s="10">
        <v>127</v>
      </c>
      <c r="B132" s="7" t="s">
        <v>33</v>
      </c>
      <c r="C132" s="1" t="s">
        <v>319</v>
      </c>
      <c r="D132" s="10"/>
      <c r="E132" s="1" t="s">
        <v>9</v>
      </c>
      <c r="G132" s="1" t="s">
        <v>155</v>
      </c>
      <c r="I132" s="1" t="s">
        <v>1</v>
      </c>
      <c r="K132" s="7" t="str">
        <f t="shared" ref="K132:K169" si="106">IF(COUNTIF(C132:J132,"y")&gt;1,"error",IF(COUNTIF(C132:J132,"y")&lt;1,"Not Assigned","ok"))</f>
        <v>ok</v>
      </c>
      <c r="V132" s="3" t="str">
        <f t="shared" si="60"/>
        <v>en_iocfg_dir__input</v>
      </c>
      <c r="W132" s="3" t="str">
        <f t="shared" si="95"/>
        <v>.flttype =0</v>
      </c>
      <c r="X132" s="3" t="str">
        <f t="shared" si="96"/>
        <v>.fltclk=0</v>
      </c>
      <c r="Y132" s="3" t="str">
        <f t="shared" si="97"/>
        <v>.invinp=0</v>
      </c>
      <c r="Z132" s="3" t="str">
        <f t="shared" si="98"/>
        <v>.iewo=0</v>
      </c>
      <c r="AA132" s="3" t="str">
        <f t="shared" si="99"/>
        <v>.opendrn=0</v>
      </c>
      <c r="AB132" s="3" t="str">
        <f t="shared" si="100"/>
        <v>.invout=0</v>
      </c>
      <c r="AC132" s="3" t="str">
        <f t="shared" si="101"/>
        <v>.plevel=0</v>
      </c>
      <c r="AD132" s="3" t="str">
        <f t="shared" si="102"/>
        <v>.pen=0</v>
      </c>
      <c r="AE132" s="3" t="str">
        <f t="shared" si="59"/>
        <v>.pwoa=0</v>
      </c>
      <c r="AF132" s="3" t="str">
        <f t="shared" si="103"/>
        <v>.funsel=0</v>
      </c>
      <c r="AG132" s="3" t="str">
        <f t="shared" si="104"/>
        <v>.iodis=0</v>
      </c>
      <c r="AJ132" t="s">
        <v>325</v>
      </c>
      <c r="AK132" s="14" t="s">
        <v>338</v>
      </c>
      <c r="AL132" t="str">
        <f t="shared" si="105"/>
        <v>{VOR_PORTA, 3,en_iocfg_dir__input, {{.fltclk=0,.invinp=0,.iewo=0,.opendrn=0,.invout=0,.plevel=0,.pen=0,.pwoa=0,.funsel=0,.iodis=0}}},</v>
      </c>
    </row>
    <row r="133" spans="1:38" x14ac:dyDescent="0.25">
      <c r="A133" s="10">
        <v>128</v>
      </c>
      <c r="B133" s="7" t="s">
        <v>32</v>
      </c>
      <c r="C133" s="1" t="s">
        <v>319</v>
      </c>
      <c r="D133" s="10"/>
      <c r="E133" s="1" t="s">
        <v>8</v>
      </c>
      <c r="G133" s="1" t="s">
        <v>161</v>
      </c>
      <c r="I133" s="1" t="s">
        <v>0</v>
      </c>
      <c r="K133" s="7" t="str">
        <f t="shared" si="106"/>
        <v>ok</v>
      </c>
      <c r="V133" s="3" t="str">
        <f t="shared" si="60"/>
        <v>en_iocfg_dir__input</v>
      </c>
      <c r="W133" s="3" t="str">
        <f t="shared" si="95"/>
        <v>.flttype =0</v>
      </c>
      <c r="X133" s="3" t="str">
        <f t="shared" si="96"/>
        <v>.fltclk=0</v>
      </c>
      <c r="Y133" s="3" t="str">
        <f t="shared" si="97"/>
        <v>.invinp=0</v>
      </c>
      <c r="Z133" s="3" t="str">
        <f t="shared" si="98"/>
        <v>.iewo=0</v>
      </c>
      <c r="AA133" s="3" t="str">
        <f t="shared" si="99"/>
        <v>.opendrn=0</v>
      </c>
      <c r="AB133" s="3" t="str">
        <f t="shared" si="100"/>
        <v>.invout=0</v>
      </c>
      <c r="AC133" s="3" t="str">
        <f t="shared" si="101"/>
        <v>.plevel=0</v>
      </c>
      <c r="AD133" s="3" t="str">
        <f t="shared" si="102"/>
        <v>.pen=0</v>
      </c>
      <c r="AE133" s="3" t="str">
        <f t="shared" ref="AE133:AE169" si="107">IF(T133="Y",".pwoa=1",".pwoa=0")</f>
        <v>.pwoa=0</v>
      </c>
      <c r="AF133" s="3" t="str">
        <f t="shared" si="103"/>
        <v>.funsel=0</v>
      </c>
      <c r="AG133" s="3" t="str">
        <f t="shared" si="104"/>
        <v>.iodis=0</v>
      </c>
      <c r="AJ133" t="s">
        <v>325</v>
      </c>
      <c r="AK133" s="14" t="s">
        <v>339</v>
      </c>
      <c r="AL133" t="str">
        <f t="shared" si="105"/>
        <v>{VOR_PORTA, 2,en_iocfg_dir__input, {{.fltclk=0,.invinp=0,.iewo=0,.opendrn=0,.invout=0,.plevel=0,.pen=0,.pwoa=0,.funsel=0,.iodis=0}}},</v>
      </c>
    </row>
    <row r="134" spans="1:38" x14ac:dyDescent="0.25">
      <c r="A134" s="10">
        <v>129</v>
      </c>
      <c r="B134" s="7" t="s">
        <v>31</v>
      </c>
      <c r="C134" s="1" t="s">
        <v>319</v>
      </c>
      <c r="D134" s="10"/>
      <c r="E134" s="1" t="s">
        <v>7</v>
      </c>
      <c r="G134" s="1" t="s">
        <v>163</v>
      </c>
      <c r="I134" s="1" t="s">
        <v>132</v>
      </c>
      <c r="K134" s="7" t="str">
        <f t="shared" si="106"/>
        <v>ok</v>
      </c>
      <c r="V134" s="3" t="str">
        <f t="shared" ref="V134:V169" si="108">IF(OR(F134="Y",H134="Y",J134="Y"),"en_iocfg_dir_dncare",IF(D134="Out","en_iocfg_dir_output","en_iocfg_dir__input"))</f>
        <v>en_iocfg_dir__input</v>
      </c>
      <c r="W134" s="3" t="str">
        <f t="shared" si="95"/>
        <v>.flttype =0</v>
      </c>
      <c r="X134" s="3" t="str">
        <f t="shared" si="96"/>
        <v>.fltclk=0</v>
      </c>
      <c r="Y134" s="3" t="str">
        <f t="shared" si="97"/>
        <v>.invinp=0</v>
      </c>
      <c r="Z134" s="3" t="str">
        <f t="shared" si="98"/>
        <v>.iewo=0</v>
      </c>
      <c r="AA134" s="3" t="str">
        <f t="shared" si="99"/>
        <v>.opendrn=0</v>
      </c>
      <c r="AB134" s="3" t="str">
        <f t="shared" si="100"/>
        <v>.invout=0</v>
      </c>
      <c r="AC134" s="3" t="str">
        <f t="shared" si="101"/>
        <v>.plevel=0</v>
      </c>
      <c r="AD134" s="3" t="str">
        <f t="shared" si="102"/>
        <v>.pen=0</v>
      </c>
      <c r="AE134" s="3" t="str">
        <f t="shared" si="107"/>
        <v>.pwoa=0</v>
      </c>
      <c r="AF134" s="3" t="str">
        <f t="shared" si="103"/>
        <v>.funsel=0</v>
      </c>
      <c r="AG134" s="3" t="str">
        <f t="shared" si="104"/>
        <v>.iodis=0</v>
      </c>
      <c r="AJ134" t="s">
        <v>325</v>
      </c>
      <c r="AK134" s="14" t="s">
        <v>340</v>
      </c>
      <c r="AL134" t="str">
        <f t="shared" si="105"/>
        <v>{VOR_PORTA, 1,en_iocfg_dir__input, {{.fltclk=0,.invinp=0,.iewo=0,.opendrn=0,.invout=0,.plevel=0,.pen=0,.pwoa=0,.funsel=0,.iodis=0}}},</v>
      </c>
    </row>
    <row r="135" spans="1:38" x14ac:dyDescent="0.25">
      <c r="A135" s="10">
        <v>130</v>
      </c>
      <c r="B135" s="7" t="s">
        <v>30</v>
      </c>
      <c r="C135" s="1" t="s">
        <v>319</v>
      </c>
      <c r="D135" s="10"/>
      <c r="E135" s="1" t="s">
        <v>6</v>
      </c>
      <c r="G135" s="1" t="s">
        <v>165</v>
      </c>
      <c r="I135" s="1" t="s">
        <v>134</v>
      </c>
      <c r="K135" s="7" t="str">
        <f t="shared" si="106"/>
        <v>ok</v>
      </c>
      <c r="V135" s="3" t="str">
        <f t="shared" si="108"/>
        <v>en_iocfg_dir__input</v>
      </c>
      <c r="W135" s="3" t="str">
        <f t="shared" si="95"/>
        <v>.flttype =0</v>
      </c>
      <c r="X135" s="3" t="str">
        <f t="shared" si="96"/>
        <v>.fltclk=0</v>
      </c>
      <c r="Y135" s="3" t="str">
        <f t="shared" si="97"/>
        <v>.invinp=0</v>
      </c>
      <c r="Z135" s="3" t="str">
        <f t="shared" si="98"/>
        <v>.iewo=0</v>
      </c>
      <c r="AA135" s="3" t="str">
        <f t="shared" si="99"/>
        <v>.opendrn=0</v>
      </c>
      <c r="AB135" s="3" t="str">
        <f t="shared" si="100"/>
        <v>.invout=0</v>
      </c>
      <c r="AC135" s="3" t="str">
        <f t="shared" si="101"/>
        <v>.plevel=0</v>
      </c>
      <c r="AD135" s="3" t="str">
        <f t="shared" si="102"/>
        <v>.pen=0</v>
      </c>
      <c r="AE135" s="3" t="str">
        <f t="shared" si="107"/>
        <v>.pwoa=0</v>
      </c>
      <c r="AF135" s="3" t="str">
        <f t="shared" si="103"/>
        <v>.funsel=0</v>
      </c>
      <c r="AG135" s="3" t="str">
        <f t="shared" si="104"/>
        <v>.iodis=0</v>
      </c>
      <c r="AJ135" t="s">
        <v>325</v>
      </c>
      <c r="AK135" s="14" t="s">
        <v>341</v>
      </c>
      <c r="AL135" t="str">
        <f t="shared" si="105"/>
        <v>{VOR_PORTA, 0,en_iocfg_dir__input, {{.fltclk=0,.invinp=0,.iewo=0,.opendrn=0,.invout=0,.plevel=0,.pen=0,.pwoa=0,.funsel=0,.iodis=0}}},</v>
      </c>
    </row>
    <row r="136" spans="1:38" x14ac:dyDescent="0.25">
      <c r="A136" s="10">
        <v>131</v>
      </c>
      <c r="B136" s="7" t="s">
        <v>254</v>
      </c>
      <c r="D136" s="10"/>
      <c r="E136" s="1" t="s">
        <v>137</v>
      </c>
      <c r="G136" s="1" t="s">
        <v>137</v>
      </c>
      <c r="I136" s="1" t="s">
        <v>137</v>
      </c>
      <c r="AJ136" t="s">
        <v>254</v>
      </c>
    </row>
    <row r="137" spans="1:38" x14ac:dyDescent="0.25">
      <c r="A137" s="10">
        <v>132</v>
      </c>
      <c r="B137" s="7" t="s">
        <v>255</v>
      </c>
      <c r="D137" s="10"/>
      <c r="E137" s="1" t="s">
        <v>137</v>
      </c>
      <c r="G137" s="1" t="s">
        <v>137</v>
      </c>
      <c r="I137" s="1" t="s">
        <v>137</v>
      </c>
      <c r="AJ137" t="s">
        <v>255</v>
      </c>
    </row>
    <row r="138" spans="1:38" x14ac:dyDescent="0.25">
      <c r="A138" s="10">
        <v>133</v>
      </c>
      <c r="B138" s="7" t="s">
        <v>256</v>
      </c>
      <c r="D138" s="10"/>
      <c r="E138" s="1" t="s">
        <v>137</v>
      </c>
      <c r="G138" s="1" t="s">
        <v>137</v>
      </c>
      <c r="I138" s="1" t="s">
        <v>137</v>
      </c>
      <c r="AJ138" t="s">
        <v>256</v>
      </c>
    </row>
    <row r="139" spans="1:38" x14ac:dyDescent="0.25">
      <c r="A139" s="10">
        <v>134</v>
      </c>
      <c r="B139" s="7" t="s">
        <v>257</v>
      </c>
      <c r="D139" s="10"/>
      <c r="E139" s="1" t="s">
        <v>137</v>
      </c>
      <c r="G139" s="1" t="s">
        <v>137</v>
      </c>
      <c r="I139" s="1" t="s">
        <v>137</v>
      </c>
      <c r="AJ139" t="s">
        <v>257</v>
      </c>
    </row>
    <row r="140" spans="1:38" x14ac:dyDescent="0.25">
      <c r="A140" s="10">
        <v>135</v>
      </c>
      <c r="B140" s="7" t="s">
        <v>258</v>
      </c>
      <c r="D140" s="10"/>
      <c r="E140" s="1" t="s">
        <v>137</v>
      </c>
      <c r="G140" s="1" t="s">
        <v>137</v>
      </c>
      <c r="I140" s="1" t="s">
        <v>137</v>
      </c>
      <c r="AJ140" t="s">
        <v>258</v>
      </c>
    </row>
    <row r="141" spans="1:38" x14ac:dyDescent="0.25">
      <c r="A141" s="10">
        <v>136</v>
      </c>
      <c r="B141" s="7" t="s">
        <v>259</v>
      </c>
      <c r="D141" s="10"/>
      <c r="E141" s="1" t="s">
        <v>137</v>
      </c>
      <c r="G141" s="1" t="s">
        <v>137</v>
      </c>
      <c r="I141" s="1" t="s">
        <v>137</v>
      </c>
      <c r="AJ141" t="s">
        <v>259</v>
      </c>
    </row>
    <row r="142" spans="1:38" x14ac:dyDescent="0.25">
      <c r="A142" s="10">
        <v>137</v>
      </c>
      <c r="B142" s="7" t="s">
        <v>260</v>
      </c>
      <c r="D142" s="10"/>
      <c r="E142" s="1" t="s">
        <v>137</v>
      </c>
      <c r="G142" s="1" t="s">
        <v>137</v>
      </c>
      <c r="I142" s="1" t="s">
        <v>137</v>
      </c>
      <c r="AJ142" t="s">
        <v>260</v>
      </c>
    </row>
    <row r="143" spans="1:38" x14ac:dyDescent="0.25">
      <c r="A143" s="10">
        <v>138</v>
      </c>
      <c r="B143" s="7" t="s">
        <v>261</v>
      </c>
      <c r="D143" s="10"/>
      <c r="E143" s="1" t="s">
        <v>137</v>
      </c>
      <c r="G143" s="1" t="s">
        <v>137</v>
      </c>
      <c r="I143" s="1" t="s">
        <v>137</v>
      </c>
      <c r="AJ143" t="s">
        <v>261</v>
      </c>
    </row>
    <row r="144" spans="1:38" x14ac:dyDescent="0.25">
      <c r="A144" s="10">
        <v>139</v>
      </c>
      <c r="B144" s="7" t="s">
        <v>262</v>
      </c>
      <c r="D144" s="10"/>
      <c r="E144" s="1" t="s">
        <v>137</v>
      </c>
      <c r="G144" s="1" t="s">
        <v>137</v>
      </c>
      <c r="I144" s="1" t="s">
        <v>137</v>
      </c>
      <c r="AJ144" t="s">
        <v>262</v>
      </c>
    </row>
    <row r="145" spans="1:36" x14ac:dyDescent="0.25">
      <c r="A145" s="10">
        <v>140</v>
      </c>
      <c r="B145" s="7" t="s">
        <v>263</v>
      </c>
      <c r="D145" s="10"/>
      <c r="E145" s="1" t="s">
        <v>137</v>
      </c>
      <c r="G145" s="1" t="s">
        <v>137</v>
      </c>
      <c r="I145" s="1" t="s">
        <v>137</v>
      </c>
      <c r="AJ145" t="s">
        <v>263</v>
      </c>
    </row>
    <row r="146" spans="1:36" x14ac:dyDescent="0.25">
      <c r="A146" s="10">
        <v>141</v>
      </c>
      <c r="B146" s="7" t="s">
        <v>264</v>
      </c>
      <c r="D146" s="10"/>
      <c r="E146" s="1" t="s">
        <v>137</v>
      </c>
      <c r="G146" s="1" t="s">
        <v>137</v>
      </c>
      <c r="I146" s="1" t="s">
        <v>137</v>
      </c>
      <c r="AJ146" t="s">
        <v>264</v>
      </c>
    </row>
    <row r="147" spans="1:36" x14ac:dyDescent="0.25">
      <c r="A147" s="10">
        <v>142</v>
      </c>
      <c r="B147" s="7" t="s">
        <v>265</v>
      </c>
      <c r="D147" s="10"/>
      <c r="E147" s="1" t="s">
        <v>137</v>
      </c>
      <c r="G147" s="1" t="s">
        <v>137</v>
      </c>
      <c r="I147" s="1" t="s">
        <v>137</v>
      </c>
      <c r="AJ147" t="s">
        <v>265</v>
      </c>
    </row>
    <row r="148" spans="1:36" x14ac:dyDescent="0.25">
      <c r="A148" s="10">
        <v>143</v>
      </c>
      <c r="B148" s="7" t="s">
        <v>266</v>
      </c>
      <c r="D148" s="10"/>
      <c r="E148" s="1" t="s">
        <v>137</v>
      </c>
      <c r="G148" s="1" t="s">
        <v>137</v>
      </c>
      <c r="I148" s="1" t="s">
        <v>137</v>
      </c>
      <c r="AJ148" t="s">
        <v>266</v>
      </c>
    </row>
    <row r="149" spans="1:36" x14ac:dyDescent="0.25">
      <c r="A149" s="10">
        <v>144</v>
      </c>
      <c r="B149" s="7" t="s">
        <v>267</v>
      </c>
      <c r="D149" s="10"/>
      <c r="E149" s="1" t="s">
        <v>137</v>
      </c>
      <c r="G149" s="1" t="s">
        <v>137</v>
      </c>
      <c r="I149" s="1" t="s">
        <v>137</v>
      </c>
      <c r="AJ149" t="s">
        <v>267</v>
      </c>
    </row>
    <row r="150" spans="1:36" x14ac:dyDescent="0.25">
      <c r="A150" s="10">
        <v>145</v>
      </c>
      <c r="B150" s="7" t="s">
        <v>268</v>
      </c>
      <c r="D150" s="10"/>
      <c r="E150" s="1" t="s">
        <v>137</v>
      </c>
      <c r="G150" s="1" t="s">
        <v>137</v>
      </c>
      <c r="I150" s="1" t="s">
        <v>137</v>
      </c>
      <c r="AJ150" t="s">
        <v>268</v>
      </c>
    </row>
    <row r="151" spans="1:36" x14ac:dyDescent="0.25">
      <c r="A151" s="10">
        <v>145</v>
      </c>
      <c r="B151" s="7" t="s">
        <v>268</v>
      </c>
      <c r="D151" s="10"/>
      <c r="E151" s="1" t="s">
        <v>137</v>
      </c>
      <c r="G151" s="1" t="s">
        <v>137</v>
      </c>
      <c r="I151" s="1" t="s">
        <v>137</v>
      </c>
      <c r="AJ151" t="s">
        <v>268</v>
      </c>
    </row>
    <row r="152" spans="1:36" x14ac:dyDescent="0.25">
      <c r="A152" s="10">
        <v>146</v>
      </c>
      <c r="B152" s="7" t="s">
        <v>269</v>
      </c>
      <c r="D152" s="10"/>
      <c r="E152" s="1" t="s">
        <v>137</v>
      </c>
      <c r="G152" s="1" t="s">
        <v>137</v>
      </c>
      <c r="I152" s="1" t="s">
        <v>137</v>
      </c>
      <c r="AJ152" t="s">
        <v>269</v>
      </c>
    </row>
    <row r="153" spans="1:36" x14ac:dyDescent="0.25">
      <c r="A153" s="10">
        <v>147</v>
      </c>
      <c r="B153" s="7" t="s">
        <v>270</v>
      </c>
      <c r="D153" s="10"/>
      <c r="E153" s="1" t="s">
        <v>137</v>
      </c>
      <c r="G153" s="1" t="s">
        <v>137</v>
      </c>
      <c r="I153" s="1" t="s">
        <v>137</v>
      </c>
      <c r="AJ153" t="s">
        <v>270</v>
      </c>
    </row>
    <row r="154" spans="1:36" x14ac:dyDescent="0.25">
      <c r="A154" s="10">
        <v>148</v>
      </c>
      <c r="B154" s="7" t="s">
        <v>271</v>
      </c>
      <c r="D154" s="10"/>
      <c r="E154" s="1" t="s">
        <v>137</v>
      </c>
      <c r="G154" s="1" t="s">
        <v>137</v>
      </c>
      <c r="I154" s="1" t="s">
        <v>137</v>
      </c>
      <c r="AJ154" t="s">
        <v>271</v>
      </c>
    </row>
    <row r="155" spans="1:36" x14ac:dyDescent="0.25">
      <c r="A155" s="10">
        <v>149</v>
      </c>
      <c r="B155" s="7" t="s">
        <v>272</v>
      </c>
      <c r="D155" s="10"/>
      <c r="E155" s="1" t="s">
        <v>137</v>
      </c>
      <c r="G155" s="1" t="s">
        <v>137</v>
      </c>
      <c r="I155" s="1" t="s">
        <v>137</v>
      </c>
      <c r="AJ155" t="s">
        <v>272</v>
      </c>
    </row>
    <row r="156" spans="1:36" x14ac:dyDescent="0.25">
      <c r="A156" s="10">
        <v>150</v>
      </c>
      <c r="B156" s="7" t="s">
        <v>273</v>
      </c>
      <c r="D156" s="10"/>
      <c r="E156" s="1" t="s">
        <v>137</v>
      </c>
      <c r="G156" s="1" t="s">
        <v>137</v>
      </c>
      <c r="I156" s="1" t="s">
        <v>137</v>
      </c>
      <c r="AJ156" t="s">
        <v>273</v>
      </c>
    </row>
    <row r="157" spans="1:36" x14ac:dyDescent="0.25">
      <c r="A157" s="10">
        <v>151</v>
      </c>
      <c r="B157" s="7" t="s">
        <v>274</v>
      </c>
      <c r="D157" s="10"/>
      <c r="E157" s="1" t="s">
        <v>137</v>
      </c>
      <c r="G157" s="1" t="s">
        <v>137</v>
      </c>
      <c r="I157" s="1" t="s">
        <v>137</v>
      </c>
      <c r="AJ157" t="s">
        <v>274</v>
      </c>
    </row>
    <row r="158" spans="1:36" x14ac:dyDescent="0.25">
      <c r="A158" s="10">
        <v>152</v>
      </c>
      <c r="B158" s="7" t="s">
        <v>142</v>
      </c>
      <c r="D158" s="10"/>
      <c r="E158" s="1" t="s">
        <v>137</v>
      </c>
      <c r="G158" s="1" t="s">
        <v>137</v>
      </c>
      <c r="I158" s="1" t="s">
        <v>137</v>
      </c>
      <c r="AJ158" t="s">
        <v>142</v>
      </c>
    </row>
    <row r="159" spans="1:36" x14ac:dyDescent="0.25">
      <c r="A159" s="10" t="s">
        <v>275</v>
      </c>
      <c r="B159" s="7" t="s">
        <v>144</v>
      </c>
      <c r="D159" s="10"/>
      <c r="E159" s="1" t="s">
        <v>137</v>
      </c>
      <c r="G159" s="1" t="s">
        <v>137</v>
      </c>
      <c r="I159" s="1" t="s">
        <v>137</v>
      </c>
      <c r="AJ159" t="s">
        <v>144</v>
      </c>
    </row>
    <row r="160" spans="1:36" x14ac:dyDescent="0.25">
      <c r="A160" s="10">
        <v>154</v>
      </c>
      <c r="B160" s="7" t="s">
        <v>143</v>
      </c>
      <c r="D160" s="10"/>
      <c r="E160" s="1" t="s">
        <v>137</v>
      </c>
      <c r="G160" s="1" t="s">
        <v>137</v>
      </c>
      <c r="I160" s="1" t="s">
        <v>137</v>
      </c>
      <c r="AJ160" t="s">
        <v>143</v>
      </c>
    </row>
    <row r="161" spans="1:38" x14ac:dyDescent="0.25">
      <c r="A161" s="10">
        <v>154</v>
      </c>
      <c r="B161" s="7" t="s">
        <v>143</v>
      </c>
      <c r="D161" s="10"/>
      <c r="E161" s="1" t="s">
        <v>137</v>
      </c>
      <c r="G161" s="1" t="s">
        <v>137</v>
      </c>
      <c r="I161" s="1" t="s">
        <v>137</v>
      </c>
      <c r="AJ161" t="s">
        <v>143</v>
      </c>
    </row>
    <row r="162" spans="1:38" x14ac:dyDescent="0.25">
      <c r="A162" s="10">
        <v>155</v>
      </c>
      <c r="B162" s="7" t="s">
        <v>276</v>
      </c>
      <c r="C162" s="1" t="s">
        <v>319</v>
      </c>
      <c r="D162" s="10"/>
      <c r="E162" s="1" t="s">
        <v>133</v>
      </c>
      <c r="G162" s="1" t="s">
        <v>133</v>
      </c>
      <c r="I162" s="1" t="s">
        <v>133</v>
      </c>
      <c r="K162" s="7" t="str">
        <f t="shared" si="106"/>
        <v>ok</v>
      </c>
      <c r="V162" s="3" t="str">
        <f t="shared" si="108"/>
        <v>en_iocfg_dir__input</v>
      </c>
      <c r="W162" s="3" t="str">
        <f t="shared" si="95"/>
        <v>.flttype =0</v>
      </c>
      <c r="X162" s="3" t="str">
        <f t="shared" si="96"/>
        <v>.fltclk=0</v>
      </c>
      <c r="Y162" s="3" t="str">
        <f t="shared" si="97"/>
        <v>.invinp=0</v>
      </c>
      <c r="Z162" s="3" t="str">
        <f t="shared" si="98"/>
        <v>.iewo=0</v>
      </c>
      <c r="AA162" s="3" t="str">
        <f t="shared" si="99"/>
        <v>.opendrn=0</v>
      </c>
      <c r="AB162" s="3" t="str">
        <f t="shared" si="100"/>
        <v>.invout=0</v>
      </c>
      <c r="AC162" s="3" t="str">
        <f t="shared" si="101"/>
        <v>.plevel=0</v>
      </c>
      <c r="AD162" s="3" t="str">
        <f t="shared" si="102"/>
        <v>.pen=0</v>
      </c>
      <c r="AE162" s="3" t="str">
        <f t="shared" si="107"/>
        <v>.pwoa=0</v>
      </c>
      <c r="AF162" s="3" t="str">
        <f t="shared" si="103"/>
        <v>.funsel=0</v>
      </c>
      <c r="AG162" s="3" t="str">
        <f t="shared" si="104"/>
        <v>.iodis=0</v>
      </c>
      <c r="AJ162" t="s">
        <v>326</v>
      </c>
      <c r="AK162" s="14" t="s">
        <v>334</v>
      </c>
      <c r="AL162" t="str">
        <f t="shared" si="105"/>
        <v>{VOR_PORTG, 7,en_iocfg_dir__input, {{.fltclk=0,.invinp=0,.iewo=0,.opendrn=0,.invout=0,.plevel=0,.pen=0,.pwoa=0,.funsel=0,.iodis=0}}},</v>
      </c>
    </row>
    <row r="163" spans="1:38" x14ac:dyDescent="0.25">
      <c r="A163" s="10">
        <v>156</v>
      </c>
      <c r="B163" s="7" t="s">
        <v>277</v>
      </c>
      <c r="C163" s="1" t="s">
        <v>319</v>
      </c>
      <c r="D163" s="10"/>
      <c r="E163" s="1" t="s">
        <v>173</v>
      </c>
      <c r="G163" s="1" t="s">
        <v>18</v>
      </c>
      <c r="I163" s="1" t="s">
        <v>133</v>
      </c>
      <c r="K163" s="7" t="str">
        <f t="shared" si="106"/>
        <v>ok</v>
      </c>
      <c r="V163" s="3" t="str">
        <f t="shared" si="108"/>
        <v>en_iocfg_dir__input</v>
      </c>
      <c r="W163" s="3" t="str">
        <f t="shared" si="95"/>
        <v>.flttype =0</v>
      </c>
      <c r="X163" s="3" t="str">
        <f t="shared" si="96"/>
        <v>.fltclk=0</v>
      </c>
      <c r="Y163" s="3" t="str">
        <f t="shared" si="97"/>
        <v>.invinp=0</v>
      </c>
      <c r="Z163" s="3" t="str">
        <f t="shared" si="98"/>
        <v>.iewo=0</v>
      </c>
      <c r="AA163" s="3" t="str">
        <f t="shared" si="99"/>
        <v>.opendrn=0</v>
      </c>
      <c r="AB163" s="3" t="str">
        <f t="shared" si="100"/>
        <v>.invout=0</v>
      </c>
      <c r="AC163" s="3" t="str">
        <f t="shared" si="101"/>
        <v>.plevel=0</v>
      </c>
      <c r="AD163" s="3" t="str">
        <f t="shared" si="102"/>
        <v>.pen=0</v>
      </c>
      <c r="AE163" s="3" t="str">
        <f t="shared" si="107"/>
        <v>.pwoa=0</v>
      </c>
      <c r="AF163" s="3" t="str">
        <f t="shared" si="103"/>
        <v>.funsel=0</v>
      </c>
      <c r="AG163" s="3" t="str">
        <f t="shared" si="104"/>
        <v>.iodis=0</v>
      </c>
      <c r="AJ163" t="s">
        <v>326</v>
      </c>
      <c r="AK163" s="14" t="s">
        <v>335</v>
      </c>
      <c r="AL163" t="str">
        <f t="shared" si="105"/>
        <v>{VOR_PORTG, 6,en_iocfg_dir__input, {{.fltclk=0,.invinp=0,.iewo=0,.opendrn=0,.invout=0,.plevel=0,.pen=0,.pwoa=0,.funsel=0,.iodis=0}}},</v>
      </c>
    </row>
    <row r="164" spans="1:38" x14ac:dyDescent="0.25">
      <c r="A164" s="10">
        <v>157</v>
      </c>
      <c r="B164" s="7" t="s">
        <v>278</v>
      </c>
      <c r="C164" s="1" t="s">
        <v>319</v>
      </c>
      <c r="D164" s="10" t="s">
        <v>373</v>
      </c>
      <c r="E164" s="1" t="s">
        <v>174</v>
      </c>
      <c r="G164" s="1" t="s">
        <v>150</v>
      </c>
      <c r="I164" s="1" t="s">
        <v>133</v>
      </c>
      <c r="K164" s="7" t="str">
        <f t="shared" si="106"/>
        <v>ok</v>
      </c>
      <c r="V164" s="3" t="str">
        <f t="shared" si="108"/>
        <v>en_iocfg_dir_output</v>
      </c>
      <c r="W164" s="3" t="str">
        <f t="shared" si="95"/>
        <v>.flttype =0</v>
      </c>
      <c r="X164" s="3" t="str">
        <f t="shared" si="96"/>
        <v>.fltclk=0</v>
      </c>
      <c r="Y164" s="3" t="str">
        <f t="shared" si="97"/>
        <v>.invinp=0</v>
      </c>
      <c r="Z164" s="3" t="str">
        <f t="shared" si="98"/>
        <v>.iewo=0</v>
      </c>
      <c r="AA164" s="3" t="str">
        <f t="shared" si="99"/>
        <v>.opendrn=0</v>
      </c>
      <c r="AB164" s="3" t="str">
        <f t="shared" si="100"/>
        <v>.invout=0</v>
      </c>
      <c r="AC164" s="3" t="str">
        <f t="shared" si="101"/>
        <v>.plevel=0</v>
      </c>
      <c r="AD164" s="3" t="str">
        <f t="shared" si="102"/>
        <v>.pen=0</v>
      </c>
      <c r="AE164" s="3" t="str">
        <f t="shared" si="107"/>
        <v>.pwoa=0</v>
      </c>
      <c r="AF164" s="3" t="str">
        <f t="shared" si="103"/>
        <v>.funsel=0</v>
      </c>
      <c r="AG164" s="3" t="str">
        <f t="shared" si="104"/>
        <v>.iodis=0</v>
      </c>
      <c r="AJ164" t="s">
        <v>326</v>
      </c>
      <c r="AK164" s="14" t="s">
        <v>336</v>
      </c>
      <c r="AL164" t="str">
        <f t="shared" si="105"/>
        <v>{VOR_PORTG, 5,en_iocfg_dir_output, {{.fltclk=0,.invinp=0,.iewo=0,.opendrn=0,.invout=0,.plevel=0,.pen=0,.pwoa=0,.funsel=0,.iodis=0}}},</v>
      </c>
    </row>
    <row r="165" spans="1:38" x14ac:dyDescent="0.25">
      <c r="A165" s="10">
        <v>158</v>
      </c>
      <c r="B165" s="7" t="s">
        <v>279</v>
      </c>
      <c r="D165" s="10"/>
      <c r="E165" s="1" t="s">
        <v>176</v>
      </c>
      <c r="F165" s="1" t="s">
        <v>319</v>
      </c>
      <c r="G165" s="1" t="s">
        <v>152</v>
      </c>
      <c r="I165" s="1" t="s">
        <v>133</v>
      </c>
      <c r="K165" s="7" t="str">
        <f t="shared" si="106"/>
        <v>ok</v>
      </c>
      <c r="V165" s="3" t="str">
        <f t="shared" si="108"/>
        <v>en_iocfg_dir_dncare</v>
      </c>
      <c r="W165" s="3" t="str">
        <f t="shared" si="95"/>
        <v>.flttype =0</v>
      </c>
      <c r="X165" s="3" t="str">
        <f t="shared" si="96"/>
        <v>.fltclk=0</v>
      </c>
      <c r="Y165" s="3" t="str">
        <f t="shared" si="97"/>
        <v>.invinp=0</v>
      </c>
      <c r="Z165" s="3" t="str">
        <f t="shared" si="98"/>
        <v>.iewo=0</v>
      </c>
      <c r="AA165" s="3" t="str">
        <f t="shared" si="99"/>
        <v>.opendrn=0</v>
      </c>
      <c r="AB165" s="3" t="str">
        <f t="shared" si="100"/>
        <v>.invout=0</v>
      </c>
      <c r="AC165" s="3" t="str">
        <f t="shared" si="101"/>
        <v>.plevel=0</v>
      </c>
      <c r="AD165" s="3" t="str">
        <f t="shared" si="102"/>
        <v>.pen=0</v>
      </c>
      <c r="AE165" s="3" t="str">
        <f t="shared" si="107"/>
        <v>.pwoa=0</v>
      </c>
      <c r="AF165" s="3" t="str">
        <f t="shared" si="103"/>
        <v>.funsel=1</v>
      </c>
      <c r="AG165" s="3" t="str">
        <f t="shared" si="104"/>
        <v>.iodis=0</v>
      </c>
      <c r="AJ165" t="s">
        <v>326</v>
      </c>
      <c r="AK165" s="14" t="s">
        <v>337</v>
      </c>
      <c r="AL165" t="str">
        <f t="shared" si="105"/>
        <v>{VOR_PORTG, 4,en_iocfg_dir_dncare, {{.fltclk=0,.invinp=0,.iewo=0,.opendrn=0,.invout=0,.plevel=0,.pen=0,.pwoa=0,.funsel=1,.iodis=0}}},</v>
      </c>
    </row>
    <row r="166" spans="1:38" x14ac:dyDescent="0.25">
      <c r="A166" s="10">
        <v>159</v>
      </c>
      <c r="B166" s="7" t="s">
        <v>280</v>
      </c>
      <c r="C166" s="1" t="s">
        <v>319</v>
      </c>
      <c r="D166" s="10"/>
      <c r="E166" s="1" t="s">
        <v>16</v>
      </c>
      <c r="G166" s="1" t="s">
        <v>154</v>
      </c>
      <c r="I166" s="1" t="s">
        <v>133</v>
      </c>
      <c r="K166" s="7" t="str">
        <f t="shared" si="106"/>
        <v>ok</v>
      </c>
      <c r="V166" s="3" t="str">
        <f t="shared" si="108"/>
        <v>en_iocfg_dir__input</v>
      </c>
      <c r="W166" s="3" t="str">
        <f t="shared" si="95"/>
        <v>.flttype =0</v>
      </c>
      <c r="X166" s="3" t="str">
        <f t="shared" si="96"/>
        <v>.fltclk=0</v>
      </c>
      <c r="Y166" s="3" t="str">
        <f t="shared" si="97"/>
        <v>.invinp=0</v>
      </c>
      <c r="Z166" s="3" t="str">
        <f t="shared" si="98"/>
        <v>.iewo=0</v>
      </c>
      <c r="AA166" s="3" t="str">
        <f t="shared" si="99"/>
        <v>.opendrn=0</v>
      </c>
      <c r="AB166" s="3" t="str">
        <f t="shared" si="100"/>
        <v>.invout=0</v>
      </c>
      <c r="AC166" s="3" t="str">
        <f t="shared" si="101"/>
        <v>.plevel=0</v>
      </c>
      <c r="AD166" s="3" t="str">
        <f t="shared" si="102"/>
        <v>.pen=0</v>
      </c>
      <c r="AE166" s="3" t="str">
        <f t="shared" si="107"/>
        <v>.pwoa=0</v>
      </c>
      <c r="AF166" s="3" t="str">
        <f t="shared" si="103"/>
        <v>.funsel=0</v>
      </c>
      <c r="AG166" s="3" t="str">
        <f t="shared" si="104"/>
        <v>.iodis=0</v>
      </c>
      <c r="AJ166" t="s">
        <v>326</v>
      </c>
      <c r="AK166" s="14" t="s">
        <v>338</v>
      </c>
      <c r="AL166" t="str">
        <f t="shared" si="105"/>
        <v>{VOR_PORTG, 3,en_iocfg_dir__input, {{.fltclk=0,.invinp=0,.iewo=0,.opendrn=0,.invout=0,.plevel=0,.pen=0,.pwoa=0,.funsel=0,.iodis=0}}},</v>
      </c>
    </row>
    <row r="167" spans="1:38" x14ac:dyDescent="0.25">
      <c r="A167" s="10">
        <v>160</v>
      </c>
      <c r="B167" s="7" t="s">
        <v>281</v>
      </c>
      <c r="C167" s="1" t="s">
        <v>319</v>
      </c>
      <c r="D167" s="10"/>
      <c r="E167" s="1" t="s">
        <v>15</v>
      </c>
      <c r="G167" s="1" t="s">
        <v>160</v>
      </c>
      <c r="I167" s="1" t="s">
        <v>133</v>
      </c>
      <c r="K167" s="7" t="str">
        <f t="shared" si="106"/>
        <v>ok</v>
      </c>
      <c r="V167" s="3" t="str">
        <f t="shared" si="108"/>
        <v>en_iocfg_dir__input</v>
      </c>
      <c r="W167" s="3" t="str">
        <f t="shared" si="95"/>
        <v>.flttype =0</v>
      </c>
      <c r="X167" s="3" t="str">
        <f t="shared" si="96"/>
        <v>.fltclk=0</v>
      </c>
      <c r="Y167" s="3" t="str">
        <f t="shared" si="97"/>
        <v>.invinp=0</v>
      </c>
      <c r="Z167" s="3" t="str">
        <f t="shared" si="98"/>
        <v>.iewo=0</v>
      </c>
      <c r="AA167" s="3" t="str">
        <f t="shared" si="99"/>
        <v>.opendrn=0</v>
      </c>
      <c r="AB167" s="3" t="str">
        <f t="shared" si="100"/>
        <v>.invout=0</v>
      </c>
      <c r="AC167" s="3" t="str">
        <f t="shared" si="101"/>
        <v>.plevel=0</v>
      </c>
      <c r="AD167" s="3" t="str">
        <f t="shared" si="102"/>
        <v>.pen=0</v>
      </c>
      <c r="AE167" s="3" t="str">
        <f t="shared" si="107"/>
        <v>.pwoa=0</v>
      </c>
      <c r="AF167" s="3" t="str">
        <f t="shared" si="103"/>
        <v>.funsel=0</v>
      </c>
      <c r="AG167" s="3" t="str">
        <f t="shared" si="104"/>
        <v>.iodis=0</v>
      </c>
      <c r="AJ167" t="s">
        <v>326</v>
      </c>
      <c r="AK167" s="14" t="s">
        <v>339</v>
      </c>
      <c r="AL167" t="str">
        <f t="shared" si="105"/>
        <v>{VOR_PORTG, 2,en_iocfg_dir__input, {{.fltclk=0,.invinp=0,.iewo=0,.opendrn=0,.invout=0,.plevel=0,.pen=0,.pwoa=0,.funsel=0,.iodis=0}}},</v>
      </c>
    </row>
    <row r="168" spans="1:38" x14ac:dyDescent="0.25">
      <c r="A168" s="10">
        <v>161</v>
      </c>
      <c r="B168" s="7" t="s">
        <v>282</v>
      </c>
      <c r="D168" s="10"/>
      <c r="E168" s="1" t="s">
        <v>1</v>
      </c>
      <c r="F168" s="1" t="s">
        <v>319</v>
      </c>
      <c r="G168" s="1" t="s">
        <v>29</v>
      </c>
      <c r="I168" s="1" t="s">
        <v>133</v>
      </c>
      <c r="K168" s="7" t="str">
        <f t="shared" si="106"/>
        <v>ok</v>
      </c>
      <c r="V168" s="3" t="str">
        <f t="shared" si="108"/>
        <v>en_iocfg_dir_dncare</v>
      </c>
      <c r="W168" s="3" t="str">
        <f t="shared" si="95"/>
        <v>.flttype =0</v>
      </c>
      <c r="X168" s="3" t="str">
        <f t="shared" si="96"/>
        <v>.fltclk=0</v>
      </c>
      <c r="Y168" s="3" t="str">
        <f t="shared" si="97"/>
        <v>.invinp=0</v>
      </c>
      <c r="Z168" s="3" t="str">
        <f t="shared" si="98"/>
        <v>.iewo=0</v>
      </c>
      <c r="AA168" s="3" t="str">
        <f t="shared" si="99"/>
        <v>.opendrn=0</v>
      </c>
      <c r="AB168" s="3" t="str">
        <f t="shared" si="100"/>
        <v>.invout=0</v>
      </c>
      <c r="AC168" s="3" t="str">
        <f t="shared" si="101"/>
        <v>.plevel=0</v>
      </c>
      <c r="AD168" s="3" t="str">
        <f t="shared" si="102"/>
        <v>.pen=0</v>
      </c>
      <c r="AE168" s="3" t="str">
        <f t="shared" si="107"/>
        <v>.pwoa=0</v>
      </c>
      <c r="AF168" s="3" t="str">
        <f t="shared" si="103"/>
        <v>.funsel=1</v>
      </c>
      <c r="AG168" s="3" t="str">
        <f t="shared" si="104"/>
        <v>.iodis=0</v>
      </c>
      <c r="AJ168" t="s">
        <v>326</v>
      </c>
      <c r="AK168" s="14" t="s">
        <v>340</v>
      </c>
      <c r="AL168" t="str">
        <f t="shared" si="105"/>
        <v>{VOR_PORTG, 1,en_iocfg_dir_dncare, {{.fltclk=0,.invinp=0,.iewo=0,.opendrn=0,.invout=0,.plevel=0,.pen=0,.pwoa=0,.funsel=1,.iodis=0}}},</v>
      </c>
    </row>
    <row r="169" spans="1:38" x14ac:dyDescent="0.25">
      <c r="A169" s="10">
        <v>162</v>
      </c>
      <c r="B169" s="7" t="s">
        <v>283</v>
      </c>
      <c r="D169" s="10"/>
      <c r="E169" s="1" t="s">
        <v>0</v>
      </c>
      <c r="F169" s="1" t="s">
        <v>319</v>
      </c>
      <c r="G169" s="1" t="s">
        <v>28</v>
      </c>
      <c r="I169" s="1" t="s">
        <v>133</v>
      </c>
      <c r="K169" s="7" t="str">
        <f t="shared" si="106"/>
        <v>ok</v>
      </c>
      <c r="V169" s="3" t="str">
        <f t="shared" si="108"/>
        <v>en_iocfg_dir_dncare</v>
      </c>
      <c r="W169" s="3" t="str">
        <f t="shared" si="95"/>
        <v>.flttype =0</v>
      </c>
      <c r="X169" s="3" t="str">
        <f t="shared" si="96"/>
        <v>.fltclk=0</v>
      </c>
      <c r="Y169" s="3" t="str">
        <f t="shared" si="97"/>
        <v>.invinp=0</v>
      </c>
      <c r="Z169" s="3" t="str">
        <f t="shared" si="98"/>
        <v>.iewo=0</v>
      </c>
      <c r="AA169" s="3" t="str">
        <f t="shared" si="99"/>
        <v>.opendrn=0</v>
      </c>
      <c r="AB169" s="3" t="str">
        <f t="shared" si="100"/>
        <v>.invout=0</v>
      </c>
      <c r="AC169" s="3" t="str">
        <f t="shared" si="101"/>
        <v>.plevel=0</v>
      </c>
      <c r="AD169" s="3" t="str">
        <f t="shared" si="102"/>
        <v>.pen=0</v>
      </c>
      <c r="AE169" s="3" t="str">
        <f t="shared" si="107"/>
        <v>.pwoa=0</v>
      </c>
      <c r="AF169" s="3" t="str">
        <f t="shared" si="103"/>
        <v>.funsel=1</v>
      </c>
      <c r="AG169" s="3" t="str">
        <f t="shared" si="104"/>
        <v>.iodis=0</v>
      </c>
      <c r="AJ169" t="s">
        <v>326</v>
      </c>
      <c r="AK169" s="14" t="s">
        <v>341</v>
      </c>
      <c r="AL169" t="str">
        <f t="shared" si="105"/>
        <v>{VOR_PORTG, 0,en_iocfg_dir_dncare, {{.fltclk=0,.invinp=0,.iewo=0,.opendrn=0,.invout=0,.plevel=0,.pen=0,.pwoa=0,.funsel=1,.iodis=0}}},</v>
      </c>
    </row>
    <row r="170" spans="1:38" x14ac:dyDescent="0.25">
      <c r="A170" s="10">
        <v>163</v>
      </c>
      <c r="B170" s="7" t="s">
        <v>284</v>
      </c>
      <c r="D170" s="10"/>
      <c r="E170" s="1" t="s">
        <v>137</v>
      </c>
      <c r="G170" s="1" t="s">
        <v>137</v>
      </c>
      <c r="I170" s="1" t="s">
        <v>137</v>
      </c>
      <c r="AJ170" t="s">
        <v>284</v>
      </c>
    </row>
    <row r="171" spans="1:38" x14ac:dyDescent="0.25">
      <c r="A171" s="10">
        <v>164</v>
      </c>
      <c r="B171" s="7" t="s">
        <v>285</v>
      </c>
      <c r="D171" s="10"/>
      <c r="E171" s="1" t="s">
        <v>137</v>
      </c>
      <c r="G171" s="1" t="s">
        <v>137</v>
      </c>
      <c r="I171" s="1" t="s">
        <v>137</v>
      </c>
      <c r="AJ171" t="s">
        <v>285</v>
      </c>
    </row>
    <row r="172" spans="1:38" x14ac:dyDescent="0.25">
      <c r="A172" s="10">
        <v>165</v>
      </c>
      <c r="B172" s="7" t="s">
        <v>286</v>
      </c>
      <c r="D172" s="10"/>
      <c r="E172" s="1" t="s">
        <v>137</v>
      </c>
      <c r="G172" s="1" t="s">
        <v>137</v>
      </c>
      <c r="I172" s="1" t="s">
        <v>137</v>
      </c>
      <c r="AJ172" t="s">
        <v>286</v>
      </c>
    </row>
    <row r="173" spans="1:38" x14ac:dyDescent="0.25">
      <c r="A173" s="10">
        <v>166</v>
      </c>
      <c r="B173" s="7" t="s">
        <v>287</v>
      </c>
      <c r="D173" s="10"/>
      <c r="E173" s="1" t="s">
        <v>137</v>
      </c>
      <c r="G173" s="1" t="s">
        <v>137</v>
      </c>
      <c r="I173" s="1" t="s">
        <v>137</v>
      </c>
      <c r="AJ173" t="s">
        <v>287</v>
      </c>
    </row>
    <row r="174" spans="1:38" x14ac:dyDescent="0.25">
      <c r="A174" s="10">
        <v>167</v>
      </c>
      <c r="B174" s="7" t="s">
        <v>142</v>
      </c>
      <c r="D174" s="10"/>
      <c r="E174" s="1" t="s">
        <v>137</v>
      </c>
      <c r="G174" s="1" t="s">
        <v>137</v>
      </c>
      <c r="I174" s="1" t="s">
        <v>137</v>
      </c>
      <c r="AJ174" t="s">
        <v>142</v>
      </c>
    </row>
    <row r="175" spans="1:38" x14ac:dyDescent="0.25">
      <c r="A175" s="10">
        <v>168</v>
      </c>
      <c r="B175" s="7" t="s">
        <v>143</v>
      </c>
      <c r="D175" s="10"/>
      <c r="E175" s="1" t="s">
        <v>137</v>
      </c>
      <c r="G175" s="1" t="s">
        <v>137</v>
      </c>
      <c r="I175" s="1" t="s">
        <v>137</v>
      </c>
      <c r="AJ175" t="s">
        <v>143</v>
      </c>
    </row>
    <row r="176" spans="1:38" x14ac:dyDescent="0.25">
      <c r="A176" s="10">
        <v>169</v>
      </c>
      <c r="B176" s="7" t="s">
        <v>288</v>
      </c>
      <c r="D176" s="10"/>
      <c r="E176" s="1" t="s">
        <v>137</v>
      </c>
      <c r="G176" s="1" t="s">
        <v>137</v>
      </c>
      <c r="I176" s="1" t="s">
        <v>137</v>
      </c>
      <c r="AJ176" t="s">
        <v>288</v>
      </c>
    </row>
    <row r="177" spans="1:36" x14ac:dyDescent="0.25">
      <c r="A177" s="10">
        <v>170</v>
      </c>
      <c r="B177" s="7" t="s">
        <v>289</v>
      </c>
      <c r="D177" s="10"/>
      <c r="E177" s="1" t="s">
        <v>137</v>
      </c>
      <c r="G177" s="1" t="s">
        <v>137</v>
      </c>
      <c r="I177" s="1" t="s">
        <v>137</v>
      </c>
      <c r="AJ177" t="s">
        <v>289</v>
      </c>
    </row>
    <row r="178" spans="1:36" x14ac:dyDescent="0.25">
      <c r="A178" s="10">
        <v>171</v>
      </c>
      <c r="B178" s="7" t="s">
        <v>290</v>
      </c>
      <c r="D178" s="10"/>
      <c r="E178" s="1" t="s">
        <v>137</v>
      </c>
      <c r="G178" s="1" t="s">
        <v>137</v>
      </c>
      <c r="I178" s="1" t="s">
        <v>137</v>
      </c>
      <c r="AJ178" t="s">
        <v>290</v>
      </c>
    </row>
    <row r="179" spans="1:36" x14ac:dyDescent="0.25">
      <c r="A179" s="10">
        <v>172</v>
      </c>
      <c r="B179" s="7" t="s">
        <v>291</v>
      </c>
      <c r="D179" s="10"/>
      <c r="E179" s="1" t="s">
        <v>137</v>
      </c>
      <c r="G179" s="1" t="s">
        <v>137</v>
      </c>
      <c r="I179" s="1" t="s">
        <v>137</v>
      </c>
      <c r="AJ179" t="s">
        <v>291</v>
      </c>
    </row>
    <row r="180" spans="1:36" x14ac:dyDescent="0.25">
      <c r="A180" s="10">
        <v>173</v>
      </c>
      <c r="B180" s="7" t="s">
        <v>292</v>
      </c>
      <c r="D180" s="10"/>
      <c r="E180" s="1" t="s">
        <v>137</v>
      </c>
      <c r="G180" s="1" t="s">
        <v>137</v>
      </c>
      <c r="I180" s="1" t="s">
        <v>137</v>
      </c>
      <c r="AJ180" t="s">
        <v>292</v>
      </c>
    </row>
    <row r="181" spans="1:36" x14ac:dyDescent="0.25">
      <c r="A181" s="10">
        <v>174</v>
      </c>
      <c r="B181" s="7" t="s">
        <v>293</v>
      </c>
      <c r="D181" s="10"/>
      <c r="E181" s="1" t="s">
        <v>137</v>
      </c>
      <c r="G181" s="1" t="s">
        <v>137</v>
      </c>
      <c r="I181" s="1" t="s">
        <v>137</v>
      </c>
      <c r="AJ181" t="s">
        <v>293</v>
      </c>
    </row>
    <row r="182" spans="1:36" x14ac:dyDescent="0.25">
      <c r="A182" s="10">
        <v>175</v>
      </c>
      <c r="B182" s="7" t="s">
        <v>294</v>
      </c>
      <c r="D182" s="10"/>
      <c r="E182" s="1" t="s">
        <v>137</v>
      </c>
      <c r="G182" s="1" t="s">
        <v>137</v>
      </c>
      <c r="I182" s="1" t="s">
        <v>137</v>
      </c>
      <c r="AJ182" t="s">
        <v>294</v>
      </c>
    </row>
    <row r="183" spans="1:36" x14ac:dyDescent="0.25">
      <c r="A183" s="10">
        <v>176</v>
      </c>
      <c r="B183" s="7" t="s">
        <v>295</v>
      </c>
      <c r="D183" s="10"/>
      <c r="E183" s="1" t="s">
        <v>137</v>
      </c>
      <c r="G183" s="1" t="s">
        <v>137</v>
      </c>
      <c r="I183" s="1" t="s">
        <v>137</v>
      </c>
      <c r="AJ183" t="s">
        <v>295</v>
      </c>
    </row>
  </sheetData>
  <conditionalFormatting sqref="E91">
    <cfRule type="iconSet" priority="20">
      <iconSet>
        <cfvo type="percent" val="0"/>
        <cfvo type="percent" val="33"/>
        <cfvo type="percent" val="67"/>
      </iconSet>
    </cfRule>
  </conditionalFormatting>
  <conditionalFormatting sqref="F91">
    <cfRule type="colorScale" priority="18">
      <colorScale>
        <cfvo type="formula" val="&quot;y&quot;"/>
        <cfvo type="max"/>
        <color rgb="FF00B050"/>
        <color rgb="FFFFEF9C"/>
      </colorScale>
    </cfRule>
  </conditionalFormatting>
  <conditionalFormatting sqref="F1:F1048576">
    <cfRule type="containsText" dxfId="10" priority="17" operator="containsText" text="y">
      <formula>NOT(ISERROR(SEARCH("y",F1)))</formula>
    </cfRule>
  </conditionalFormatting>
  <conditionalFormatting sqref="F1:F1048576">
    <cfRule type="containsText" dxfId="9" priority="16" operator="containsText" text="y">
      <formula>NOT(ISERROR(SEARCH("y",F1)))</formula>
    </cfRule>
  </conditionalFormatting>
  <conditionalFormatting sqref="C1:C1048576">
    <cfRule type="containsText" dxfId="8" priority="11" operator="containsText" text="y">
      <formula>NOT(ISERROR(SEARCH("y",C1)))</formula>
    </cfRule>
  </conditionalFormatting>
  <conditionalFormatting sqref="C1:C1048576">
    <cfRule type="containsText" dxfId="7" priority="10" operator="containsText" text="y">
      <formula>NOT(ISERROR(SEARCH("y",C1)))</formula>
    </cfRule>
  </conditionalFormatting>
  <conditionalFormatting sqref="H91">
    <cfRule type="colorScale" priority="9">
      <colorScale>
        <cfvo type="formula" val="&quot;y&quot;"/>
        <cfvo type="max"/>
        <color rgb="FF00B050"/>
        <color rgb="FFFFEF9C"/>
      </colorScale>
    </cfRule>
  </conditionalFormatting>
  <conditionalFormatting sqref="H1:H1048576">
    <cfRule type="containsText" dxfId="6" priority="8" operator="containsText" text="y">
      <formula>NOT(ISERROR(SEARCH("y",H1)))</formula>
    </cfRule>
  </conditionalFormatting>
  <conditionalFormatting sqref="H1:H1048576">
    <cfRule type="containsText" dxfId="5" priority="7" operator="containsText" text="y">
      <formula>NOT(ISERROR(SEARCH("y",H1)))</formula>
    </cfRule>
  </conditionalFormatting>
  <conditionalFormatting sqref="J91">
    <cfRule type="colorScale" priority="6">
      <colorScale>
        <cfvo type="formula" val="&quot;y&quot;"/>
        <cfvo type="max"/>
        <color rgb="FF00B050"/>
        <color rgb="FFFFEF9C"/>
      </colorScale>
    </cfRule>
  </conditionalFormatting>
  <conditionalFormatting sqref="J1:J1048576">
    <cfRule type="containsText" dxfId="4" priority="5" operator="containsText" text="y">
      <formula>NOT(ISERROR(SEARCH("y",J1)))</formula>
    </cfRule>
  </conditionalFormatting>
  <conditionalFormatting sqref="J1:J1048576">
    <cfRule type="containsText" dxfId="3" priority="4" operator="containsText" text="y">
      <formula>NOT(ISERROR(SEARCH("y",J1)))</formula>
    </cfRule>
  </conditionalFormatting>
  <conditionalFormatting sqref="K4:K183">
    <cfRule type="containsText" dxfId="2" priority="3" operator="containsText" text="Not Assigned">
      <formula>NOT(ISERROR(SEARCH("Not Assigned",K4)))</formula>
    </cfRule>
    <cfRule type="containsText" dxfId="1" priority="2" operator="containsText" text="error">
      <formula>NOT(ISERROR(SEARCH("error",K4)))</formula>
    </cfRule>
    <cfRule type="containsText" dxfId="0" priority="1" operator="containsText" text="ok">
      <formula>NOT(ISERROR(SEARCH("ok",K4)))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utPaste2" altText="Generate .c file">
                <anchor moveWithCells="1" sizeWithCells="1">
                  <from>
                    <xdr:col>21</xdr:col>
                    <xdr:colOff>161925</xdr:colOff>
                    <xdr:row>2</xdr:row>
                    <xdr:rowOff>142875</xdr:rowOff>
                  </from>
                  <to>
                    <xdr:col>21</xdr:col>
                    <xdr:colOff>1323975</xdr:colOff>
                    <xdr:row>2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C2ED4-606C-844E-BABC-22AB34C9FFFA}">
  <sheetPr codeName="Sheet8"/>
  <dimension ref="A1:A108"/>
  <sheetViews>
    <sheetView topLeftCell="A88" workbookViewId="0">
      <selection activeCell="C108" sqref="C108"/>
    </sheetView>
  </sheetViews>
  <sheetFormatPr defaultColWidth="11" defaultRowHeight="15.75" x14ac:dyDescent="0.25"/>
  <cols>
    <col min="1" max="1" width="146" customWidth="1"/>
  </cols>
  <sheetData>
    <row r="1" spans="1:1" ht="409.5" customHeight="1" x14ac:dyDescent="0.25">
      <c r="A1" s="13" t="s">
        <v>447</v>
      </c>
    </row>
    <row r="2" spans="1:1" x14ac:dyDescent="0.25">
      <c r="A2" t="s">
        <v>376</v>
      </c>
    </row>
    <row r="3" spans="1:1" x14ac:dyDescent="0.25">
      <c r="A3" t="s">
        <v>375</v>
      </c>
    </row>
    <row r="4" spans="1:1" x14ac:dyDescent="0.25">
      <c r="A4" t="s">
        <v>441</v>
      </c>
    </row>
    <row r="5" spans="1:1" x14ac:dyDescent="0.25">
      <c r="A5" t="s">
        <v>440</v>
      </c>
    </row>
    <row r="6" spans="1:1" x14ac:dyDescent="0.25">
      <c r="A6" t="s">
        <v>439</v>
      </c>
    </row>
    <row r="7" spans="1:1" x14ac:dyDescent="0.25">
      <c r="A7" t="s">
        <v>438</v>
      </c>
    </row>
    <row r="8" spans="1:1" x14ac:dyDescent="0.25">
      <c r="A8" t="s">
        <v>437</v>
      </c>
    </row>
    <row r="9" spans="1:1" x14ac:dyDescent="0.25">
      <c r="A9" t="s">
        <v>436</v>
      </c>
    </row>
    <row r="10" spans="1:1" x14ac:dyDescent="0.25">
      <c r="A10" t="s">
        <v>420</v>
      </c>
    </row>
    <row r="11" spans="1:1" x14ac:dyDescent="0.25">
      <c r="A11" t="s">
        <v>419</v>
      </c>
    </row>
    <row r="12" spans="1:1" x14ac:dyDescent="0.25">
      <c r="A12" t="s">
        <v>418</v>
      </c>
    </row>
    <row r="13" spans="1:1" x14ac:dyDescent="0.25">
      <c r="A13" t="s">
        <v>417</v>
      </c>
    </row>
    <row r="14" spans="1:1" x14ac:dyDescent="0.25">
      <c r="A14" t="s">
        <v>416</v>
      </c>
    </row>
    <row r="15" spans="1:1" x14ac:dyDescent="0.25">
      <c r="A15" t="s">
        <v>415</v>
      </c>
    </row>
    <row r="16" spans="1:1" x14ac:dyDescent="0.25">
      <c r="A16" t="s">
        <v>414</v>
      </c>
    </row>
    <row r="17" spans="1:1" x14ac:dyDescent="0.25">
      <c r="A17" t="s">
        <v>413</v>
      </c>
    </row>
    <row r="18" spans="1:1" x14ac:dyDescent="0.25">
      <c r="A18" t="s">
        <v>412</v>
      </c>
    </row>
    <row r="19" spans="1:1" x14ac:dyDescent="0.25">
      <c r="A19" t="s">
        <v>411</v>
      </c>
    </row>
    <row r="20" spans="1:1" x14ac:dyDescent="0.25">
      <c r="A20" t="s">
        <v>410</v>
      </c>
    </row>
    <row r="21" spans="1:1" x14ac:dyDescent="0.25">
      <c r="A21" t="s">
        <v>409</v>
      </c>
    </row>
    <row r="22" spans="1:1" x14ac:dyDescent="0.25">
      <c r="A22" t="s">
        <v>408</v>
      </c>
    </row>
    <row r="23" spans="1:1" x14ac:dyDescent="0.25">
      <c r="A23" t="s">
        <v>407</v>
      </c>
    </row>
    <row r="24" spans="1:1" x14ac:dyDescent="0.25">
      <c r="A24" t="s">
        <v>406</v>
      </c>
    </row>
    <row r="25" spans="1:1" x14ac:dyDescent="0.25">
      <c r="A25" t="s">
        <v>405</v>
      </c>
    </row>
    <row r="26" spans="1:1" x14ac:dyDescent="0.25">
      <c r="A26" t="s">
        <v>404</v>
      </c>
    </row>
    <row r="27" spans="1:1" x14ac:dyDescent="0.25">
      <c r="A27" t="s">
        <v>403</v>
      </c>
    </row>
    <row r="28" spans="1:1" x14ac:dyDescent="0.25">
      <c r="A28" t="s">
        <v>402</v>
      </c>
    </row>
    <row r="29" spans="1:1" x14ac:dyDescent="0.25">
      <c r="A29" t="s">
        <v>401</v>
      </c>
    </row>
    <row r="30" spans="1:1" x14ac:dyDescent="0.25">
      <c r="A30" t="s">
        <v>435</v>
      </c>
    </row>
    <row r="31" spans="1:1" x14ac:dyDescent="0.25">
      <c r="A31" t="s">
        <v>434</v>
      </c>
    </row>
    <row r="32" spans="1:1" x14ac:dyDescent="0.25">
      <c r="A32" t="s">
        <v>433</v>
      </c>
    </row>
    <row r="33" spans="1:1" x14ac:dyDescent="0.25">
      <c r="A33" t="s">
        <v>432</v>
      </c>
    </row>
    <row r="34" spans="1:1" x14ac:dyDescent="0.25">
      <c r="A34" t="s">
        <v>400</v>
      </c>
    </row>
    <row r="35" spans="1:1" x14ac:dyDescent="0.25">
      <c r="A35" t="s">
        <v>399</v>
      </c>
    </row>
    <row r="36" spans="1:1" x14ac:dyDescent="0.25">
      <c r="A36" t="s">
        <v>372</v>
      </c>
    </row>
    <row r="37" spans="1:1" x14ac:dyDescent="0.25">
      <c r="A37" t="s">
        <v>371</v>
      </c>
    </row>
    <row r="38" spans="1:1" x14ac:dyDescent="0.25">
      <c r="A38" t="s">
        <v>370</v>
      </c>
    </row>
    <row r="39" spans="1:1" x14ac:dyDescent="0.25">
      <c r="A39" t="s">
        <v>369</v>
      </c>
    </row>
    <row r="40" spans="1:1" x14ac:dyDescent="0.25">
      <c r="A40" t="s">
        <v>368</v>
      </c>
    </row>
    <row r="41" spans="1:1" x14ac:dyDescent="0.25">
      <c r="A41" t="s">
        <v>367</v>
      </c>
    </row>
    <row r="42" spans="1:1" x14ac:dyDescent="0.25">
      <c r="A42" t="s">
        <v>366</v>
      </c>
    </row>
    <row r="43" spans="1:1" x14ac:dyDescent="0.25">
      <c r="A43" t="s">
        <v>365</v>
      </c>
    </row>
    <row r="44" spans="1:1" x14ac:dyDescent="0.25">
      <c r="A44" t="s">
        <v>364</v>
      </c>
    </row>
    <row r="45" spans="1:1" x14ac:dyDescent="0.25">
      <c r="A45" t="s">
        <v>363</v>
      </c>
    </row>
    <row r="46" spans="1:1" x14ac:dyDescent="0.25">
      <c r="A46" t="s">
        <v>362</v>
      </c>
    </row>
    <row r="47" spans="1:1" x14ac:dyDescent="0.25">
      <c r="A47" t="s">
        <v>361</v>
      </c>
    </row>
    <row r="48" spans="1:1" x14ac:dyDescent="0.25">
      <c r="A48" t="s">
        <v>360</v>
      </c>
    </row>
    <row r="49" spans="1:1" x14ac:dyDescent="0.25">
      <c r="A49" t="s">
        <v>359</v>
      </c>
    </row>
    <row r="50" spans="1:1" x14ac:dyDescent="0.25">
      <c r="A50" t="s">
        <v>358</v>
      </c>
    </row>
    <row r="51" spans="1:1" x14ac:dyDescent="0.25">
      <c r="A51" t="s">
        <v>357</v>
      </c>
    </row>
    <row r="52" spans="1:1" x14ac:dyDescent="0.25">
      <c r="A52" t="s">
        <v>398</v>
      </c>
    </row>
    <row r="53" spans="1:1" x14ac:dyDescent="0.25">
      <c r="A53" t="s">
        <v>356</v>
      </c>
    </row>
    <row r="54" spans="1:1" x14ac:dyDescent="0.25">
      <c r="A54" t="s">
        <v>397</v>
      </c>
    </row>
    <row r="55" spans="1:1" x14ac:dyDescent="0.25">
      <c r="A55" t="s">
        <v>355</v>
      </c>
    </row>
    <row r="56" spans="1:1" x14ac:dyDescent="0.25">
      <c r="A56" t="s">
        <v>354</v>
      </c>
    </row>
    <row r="57" spans="1:1" x14ac:dyDescent="0.25">
      <c r="A57" t="s">
        <v>353</v>
      </c>
    </row>
    <row r="58" spans="1:1" x14ac:dyDescent="0.25">
      <c r="A58" t="s">
        <v>352</v>
      </c>
    </row>
    <row r="59" spans="1:1" x14ac:dyDescent="0.25">
      <c r="A59" t="s">
        <v>351</v>
      </c>
    </row>
    <row r="60" spans="1:1" x14ac:dyDescent="0.25">
      <c r="A60" t="s">
        <v>374</v>
      </c>
    </row>
    <row r="61" spans="1:1" x14ac:dyDescent="0.25">
      <c r="A61" t="s">
        <v>350</v>
      </c>
    </row>
    <row r="62" spans="1:1" x14ac:dyDescent="0.25">
      <c r="A62" t="s">
        <v>349</v>
      </c>
    </row>
    <row r="63" spans="1:1" x14ac:dyDescent="0.25">
      <c r="A63" t="s">
        <v>348</v>
      </c>
    </row>
    <row r="64" spans="1:1" x14ac:dyDescent="0.25">
      <c r="A64" t="s">
        <v>347</v>
      </c>
    </row>
    <row r="65" spans="1:1" x14ac:dyDescent="0.25">
      <c r="A65" t="s">
        <v>346</v>
      </c>
    </row>
    <row r="66" spans="1:1" x14ac:dyDescent="0.25">
      <c r="A66" t="s">
        <v>396</v>
      </c>
    </row>
    <row r="67" spans="1:1" x14ac:dyDescent="0.25">
      <c r="A67" t="s">
        <v>395</v>
      </c>
    </row>
    <row r="68" spans="1:1" x14ac:dyDescent="0.25">
      <c r="A68" t="s">
        <v>394</v>
      </c>
    </row>
    <row r="69" spans="1:1" x14ac:dyDescent="0.25">
      <c r="A69" t="s">
        <v>393</v>
      </c>
    </row>
    <row r="70" spans="1:1" x14ac:dyDescent="0.25">
      <c r="A70" t="s">
        <v>392</v>
      </c>
    </row>
    <row r="71" spans="1:1" x14ac:dyDescent="0.25">
      <c r="A71" t="s">
        <v>391</v>
      </c>
    </row>
    <row r="72" spans="1:1" x14ac:dyDescent="0.25">
      <c r="A72" t="s">
        <v>390</v>
      </c>
    </row>
    <row r="73" spans="1:1" x14ac:dyDescent="0.25">
      <c r="A73" t="s">
        <v>389</v>
      </c>
    </row>
    <row r="74" spans="1:1" x14ac:dyDescent="0.25">
      <c r="A74" t="s">
        <v>388</v>
      </c>
    </row>
    <row r="75" spans="1:1" x14ac:dyDescent="0.25">
      <c r="A75" t="s">
        <v>387</v>
      </c>
    </row>
    <row r="76" spans="1:1" x14ac:dyDescent="0.25">
      <c r="A76" t="s">
        <v>345</v>
      </c>
    </row>
    <row r="77" spans="1:1" x14ac:dyDescent="0.25">
      <c r="A77" t="s">
        <v>344</v>
      </c>
    </row>
    <row r="78" spans="1:1" x14ac:dyDescent="0.25">
      <c r="A78" t="s">
        <v>343</v>
      </c>
    </row>
    <row r="79" spans="1:1" x14ac:dyDescent="0.25">
      <c r="A79" t="s">
        <v>386</v>
      </c>
    </row>
    <row r="80" spans="1:1" x14ac:dyDescent="0.25">
      <c r="A80" t="s">
        <v>385</v>
      </c>
    </row>
    <row r="81" spans="1:1" x14ac:dyDescent="0.25">
      <c r="A81" t="s">
        <v>384</v>
      </c>
    </row>
    <row r="82" spans="1:1" x14ac:dyDescent="0.25">
      <c r="A82" t="s">
        <v>342</v>
      </c>
    </row>
    <row r="83" spans="1:1" x14ac:dyDescent="0.25">
      <c r="A83" t="s">
        <v>383</v>
      </c>
    </row>
    <row r="84" spans="1:1" x14ac:dyDescent="0.25">
      <c r="A84" t="s">
        <v>431</v>
      </c>
    </row>
    <row r="85" spans="1:1" x14ac:dyDescent="0.25">
      <c r="A85" t="s">
        <v>430</v>
      </c>
    </row>
    <row r="86" spans="1:1" x14ac:dyDescent="0.25">
      <c r="A86" t="s">
        <v>429</v>
      </c>
    </row>
    <row r="87" spans="1:1" x14ac:dyDescent="0.25">
      <c r="A87" t="s">
        <v>428</v>
      </c>
    </row>
    <row r="88" spans="1:1" x14ac:dyDescent="0.25">
      <c r="A88" t="s">
        <v>427</v>
      </c>
    </row>
    <row r="89" spans="1:1" x14ac:dyDescent="0.25">
      <c r="A89" t="s">
        <v>426</v>
      </c>
    </row>
    <row r="90" spans="1:1" x14ac:dyDescent="0.25">
      <c r="A90" t="s">
        <v>425</v>
      </c>
    </row>
    <row r="91" spans="1:1" x14ac:dyDescent="0.25">
      <c r="A91" t="s">
        <v>424</v>
      </c>
    </row>
    <row r="92" spans="1:1" x14ac:dyDescent="0.25">
      <c r="A92" t="s">
        <v>382</v>
      </c>
    </row>
    <row r="93" spans="1:1" x14ac:dyDescent="0.25">
      <c r="A93" t="s">
        <v>381</v>
      </c>
    </row>
    <row r="94" spans="1:1" x14ac:dyDescent="0.25">
      <c r="A94" t="s">
        <v>380</v>
      </c>
    </row>
    <row r="95" spans="1:1" x14ac:dyDescent="0.25">
      <c r="A95" t="s">
        <v>379</v>
      </c>
    </row>
    <row r="96" spans="1:1" x14ac:dyDescent="0.25">
      <c r="A96" t="s">
        <v>378</v>
      </c>
    </row>
    <row r="97" spans="1:1" x14ac:dyDescent="0.25">
      <c r="A97" t="s">
        <v>377</v>
      </c>
    </row>
    <row r="98" spans="1:1" x14ac:dyDescent="0.25">
      <c r="A98" t="s">
        <v>446</v>
      </c>
    </row>
    <row r="99" spans="1:1" x14ac:dyDescent="0.25">
      <c r="A99" t="s">
        <v>445</v>
      </c>
    </row>
    <row r="100" spans="1:1" x14ac:dyDescent="0.25">
      <c r="A100" t="s">
        <v>423</v>
      </c>
    </row>
    <row r="101" spans="1:1" x14ac:dyDescent="0.25">
      <c r="A101" t="s">
        <v>444</v>
      </c>
    </row>
    <row r="102" spans="1:1" x14ac:dyDescent="0.25">
      <c r="A102" t="s">
        <v>443</v>
      </c>
    </row>
    <row r="103" spans="1:1" x14ac:dyDescent="0.25">
      <c r="A103" t="s">
        <v>442</v>
      </c>
    </row>
    <row r="104" spans="1:1" x14ac:dyDescent="0.25">
      <c r="A104" t="s">
        <v>422</v>
      </c>
    </row>
    <row r="105" spans="1:1" x14ac:dyDescent="0.25">
      <c r="A105" t="s">
        <v>421</v>
      </c>
    </row>
    <row r="108" spans="1:1" ht="120.75" customHeight="1" x14ac:dyDescent="0.25">
      <c r="A108" s="13" t="s">
        <v>330</v>
      </c>
    </row>
  </sheetData>
  <sortState xmlns:xlrd2="http://schemas.microsoft.com/office/spreadsheetml/2017/richdata2" ref="A2:A105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IOFieldGen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Clay Merritt</dc:creator>
  <cp:lastModifiedBy>talexander</cp:lastModifiedBy>
  <dcterms:created xsi:type="dcterms:W3CDTF">2019-01-31T14:28:09Z</dcterms:created>
  <dcterms:modified xsi:type="dcterms:W3CDTF">2019-11-18T16:06:26Z</dcterms:modified>
</cp:coreProperties>
</file>